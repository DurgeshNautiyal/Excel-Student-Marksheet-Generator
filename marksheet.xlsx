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24715E59-5E9D-49CA-B756-4B158A65E4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rksheet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 a="1"/>
  <c r="F25" i="2"/>
  <c r="F24" i="2" a="1"/>
  <c r="F24" i="2"/>
  <c r="F23" i="2" a="1"/>
  <c r="F23" i="2"/>
  <c r="F22" i="2" a="1"/>
  <c r="F22" i="2"/>
  <c r="F20" i="2" a="1"/>
  <c r="F20" i="2"/>
  <c r="F19" i="2" a="1"/>
  <c r="F19" i="2"/>
  <c r="F18" i="2" a="1"/>
  <c r="F18" i="2"/>
  <c r="F17" i="2" a="1"/>
  <c r="F17" i="2"/>
  <c r="E25" i="2" a="1"/>
  <c r="E25" i="2"/>
  <c r="E24" i="2" a="1"/>
  <c r="E24" i="2"/>
  <c r="E23" i="2" a="1"/>
  <c r="E23" i="2"/>
  <c r="E22" i="2" a="1"/>
  <c r="E22" i="2"/>
  <c r="E20" i="2" a="1"/>
  <c r="E20" i="2"/>
  <c r="E19" i="2" a="1"/>
  <c r="E19" i="2"/>
  <c r="E18" i="2" a="1"/>
  <c r="E18" i="2"/>
  <c r="E17" i="2" a="1"/>
  <c r="E17" i="2"/>
  <c r="F16" i="2" a="1"/>
  <c r="F16" i="2"/>
  <c r="E16" i="2" a="1"/>
  <c r="E16" i="2"/>
  <c r="F11" i="2" a="1"/>
  <c r="F11" i="2"/>
  <c r="F9" i="2" a="1"/>
  <c r="F9" i="2"/>
  <c r="B11" i="2" a="1"/>
  <c r="B11" i="2"/>
  <c r="C26" i="2"/>
  <c r="B26" i="2"/>
  <c r="G25" i="2"/>
  <c r="G24" i="2"/>
  <c r="G23" i="2"/>
  <c r="G22" i="2"/>
  <c r="G20" i="2"/>
  <c r="G19" i="2"/>
  <c r="G18" i="2"/>
  <c r="G17" i="2"/>
  <c r="F26" i="2"/>
  <c r="D17" i="2"/>
  <c r="D18" i="2"/>
  <c r="D19" i="2"/>
  <c r="D20" i="2"/>
  <c r="D22" i="2"/>
  <c r="D23" i="2"/>
  <c r="D24" i="2"/>
  <c r="D25" i="2"/>
  <c r="D16" i="2"/>
  <c r="D26" i="2" s="1"/>
  <c r="B29" i="2" s="1"/>
  <c r="H17" i="2" l="1"/>
  <c r="H18" i="2"/>
  <c r="H19" i="2"/>
  <c r="H20" i="2"/>
  <c r="H22" i="2"/>
  <c r="H23" i="2"/>
  <c r="H24" i="2"/>
  <c r="H25" i="2"/>
  <c r="G16" i="2"/>
  <c r="E26" i="2"/>
  <c r="H16" i="2" l="1"/>
  <c r="A29" i="2" s="1" a="1"/>
  <c r="A29" i="2" s="1"/>
  <c r="G26" i="2"/>
  <c r="D29" i="2" s="1"/>
  <c r="F29" i="2" s="1"/>
  <c r="H29" i="2" s="1" a="1"/>
  <c r="H2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<sst xmlns="http://schemas.openxmlformats.org/spreadsheetml/2006/main" count="194" uniqueCount="181">
  <si>
    <t>ADVANCED COMPUTING INSTITUTE OF ENGINEERING AND TECHNOLOGY</t>
  </si>
  <si>
    <t>STATEMENT OF MARKS</t>
  </si>
  <si>
    <t>B.Tech (Mechanical Engineering)</t>
  </si>
  <si>
    <t>SECOND YEAR (THIRD SEMESTER)</t>
  </si>
  <si>
    <t>2024-25</t>
  </si>
  <si>
    <t>College ID</t>
  </si>
  <si>
    <t>Student Name</t>
  </si>
  <si>
    <t>DOB</t>
  </si>
  <si>
    <t>Father's Name</t>
  </si>
  <si>
    <t>Subject</t>
  </si>
  <si>
    <t>Maximum Marks</t>
  </si>
  <si>
    <t xml:space="preserve">Marks Obtained </t>
  </si>
  <si>
    <t>Status</t>
  </si>
  <si>
    <t>Exam</t>
  </si>
  <si>
    <t>Sectional</t>
  </si>
  <si>
    <t>Total</t>
  </si>
  <si>
    <t>THEORY</t>
  </si>
  <si>
    <t>Material Engineering</t>
  </si>
  <si>
    <t>Basic Thermodynamics</t>
  </si>
  <si>
    <t>Engineering Mechanics</t>
  </si>
  <si>
    <t>Phthon Programming</t>
  </si>
  <si>
    <t>Mathematics -III</t>
  </si>
  <si>
    <t>PRACTICAL</t>
  </si>
  <si>
    <t>Material Science and Testing Lab</t>
  </si>
  <si>
    <t>Machine Drawing and Solid Modelling Lab</t>
  </si>
  <si>
    <t>MATLAB Programming - Phase-I</t>
  </si>
  <si>
    <t>Python Programming  Lab</t>
  </si>
  <si>
    <t>TOTAL</t>
  </si>
  <si>
    <t>RESULT</t>
  </si>
  <si>
    <t>MAX</t>
  </si>
  <si>
    <t>GRAND TOTAL</t>
  </si>
  <si>
    <t xml:space="preserve">PERCENTAGE </t>
  </si>
  <si>
    <t>GRADE</t>
  </si>
  <si>
    <t xml:space="preserve">Student Name </t>
  </si>
  <si>
    <t>Date of birth</t>
  </si>
  <si>
    <t>Material Engineering (sectional)</t>
  </si>
  <si>
    <t>Basic Thermodynamics (sectional)</t>
  </si>
  <si>
    <t>Engineering Mechanics (sectional)</t>
  </si>
  <si>
    <t>Phthon Programming (sectional)</t>
  </si>
  <si>
    <t>Mathematics -III (sectional)</t>
  </si>
  <si>
    <t>Material Science and Testing Lab (sectional)</t>
  </si>
  <si>
    <t>Machine Drawing and Solid Modelling Lab (sectional)</t>
  </si>
  <si>
    <t>Introduction to MATLAB Programming -Phase-I</t>
  </si>
  <si>
    <t>Introduction to MATLAB Programming -Phase-I (sectional)</t>
  </si>
  <si>
    <t>Python Programming  Lab (sectional)</t>
  </si>
  <si>
    <t>Aryan Sharma</t>
  </si>
  <si>
    <t>Rajesh Sharma</t>
  </si>
  <si>
    <t>Priya Singh</t>
  </si>
  <si>
    <t>Vikram Singh</t>
  </si>
  <si>
    <t>Rohan Gupta</t>
  </si>
  <si>
    <t>Manoj Gupta</t>
  </si>
  <si>
    <t>Anjali Yadav</t>
  </si>
  <si>
    <t>Karan Yadav</t>
  </si>
  <si>
    <t>Arjun Thakur</t>
  </si>
  <si>
    <t>Sanjay Thakur</t>
  </si>
  <si>
    <t>Neha Kumar</t>
  </si>
  <si>
    <t>Deepak Kumar</t>
  </si>
  <si>
    <t>Vikram Pandey</t>
  </si>
  <si>
    <t>Amit Pandey</t>
  </si>
  <si>
    <t>Sneha Verma</t>
  </si>
  <si>
    <t>Nitin Verma</t>
  </si>
  <si>
    <t>Sumit Mishra</t>
  </si>
  <si>
    <t>Pankaj Mishra</t>
  </si>
  <si>
    <t>Riya Jha</t>
  </si>
  <si>
    <t>Vivek Jha</t>
  </si>
  <si>
    <t>Rahul Choudhary</t>
  </si>
  <si>
    <t>Saurabh Choudhary</t>
  </si>
  <si>
    <t>Pooja Tiwari</t>
  </si>
  <si>
    <t>Ankit Tiwari</t>
  </si>
  <si>
    <t>Nitin Rajput</t>
  </si>
  <si>
    <t>Gaurav Rajput</t>
  </si>
  <si>
    <t>Kavya Saxena</t>
  </si>
  <si>
    <t>Harish Saxena</t>
  </si>
  <si>
    <t>Pankaj Malhotra</t>
  </si>
  <si>
    <t>Pradeep Malhotra</t>
  </si>
  <si>
    <t>Isha Bhatia</t>
  </si>
  <si>
    <t>Suresh Bhatia</t>
  </si>
  <si>
    <t>Vivek Aggarwal</t>
  </si>
  <si>
    <t>Mukesh Aggarwal</t>
  </si>
  <si>
    <t>Tanya Mehra</t>
  </si>
  <si>
    <t>Rakesh Mehra</t>
  </si>
  <si>
    <t>Saurabh Rathore</t>
  </si>
  <si>
    <t>Ashok Rathore</t>
  </si>
  <si>
    <t>Meera Shukla</t>
  </si>
  <si>
    <t>Sunil Shukla</t>
  </si>
  <si>
    <t>Ankit Pal</t>
  </si>
  <si>
    <t>Anil Pal</t>
  </si>
  <si>
    <t>Sonia Maurya</t>
  </si>
  <si>
    <t>Vinod Maurya</t>
  </si>
  <si>
    <t>Gaurav Tomar</t>
  </si>
  <si>
    <t>Rajendra Tomar</t>
  </si>
  <si>
    <t>Ritu Bhardwaj</t>
  </si>
  <si>
    <t>Devendra Bhardwaj</t>
  </si>
  <si>
    <t>Harish Kashyap</t>
  </si>
  <si>
    <t>Yogesh Kashyap</t>
  </si>
  <si>
    <t>Kriti Chauhan</t>
  </si>
  <si>
    <t>Naveen Chauhan</t>
  </si>
  <si>
    <t>Pradeep Bisht</t>
  </si>
  <si>
    <t>Kapil Bisht</t>
  </si>
  <si>
    <t>Aarti Rawat</t>
  </si>
  <si>
    <t>Tarun Rawat</t>
  </si>
  <si>
    <t>Suresh Joshi</t>
  </si>
  <si>
    <t>Sachin Joshi</t>
  </si>
  <si>
    <t>Nisha Nautiyal</t>
  </si>
  <si>
    <t>Mohit Nautiyal</t>
  </si>
  <si>
    <t>Deepak Dobhal</t>
  </si>
  <si>
    <t>Ajay Dobhal</t>
  </si>
  <si>
    <t>Simran Gusain</t>
  </si>
  <si>
    <t>Vijay Gusain</t>
  </si>
  <si>
    <t>Amit Bhatt</t>
  </si>
  <si>
    <t>Dinesh Bhatt</t>
  </si>
  <si>
    <t>Lavanya Kandpal</t>
  </si>
  <si>
    <t>Naresh Kandpal</t>
  </si>
  <si>
    <t>Manoj Negi</t>
  </si>
  <si>
    <t>Lokesh Negi</t>
  </si>
  <si>
    <t>Divya Semwal</t>
  </si>
  <si>
    <t>Rishi Semwal</t>
  </si>
  <si>
    <t>Sanjay Kala</t>
  </si>
  <si>
    <t>Shivam Kala</t>
  </si>
  <si>
    <t>Aditi Pundir</t>
  </si>
  <si>
    <t>Aditya Pundir</t>
  </si>
  <si>
    <t>Nitin Aswal</t>
  </si>
  <si>
    <t>Siddharth Aswal</t>
  </si>
  <si>
    <t>Bhavya Dimri</t>
  </si>
  <si>
    <t>Abhishek Dimri</t>
  </si>
  <si>
    <t>Rajesh Uniyal</t>
  </si>
  <si>
    <t>Pawan Uniyal</t>
  </si>
  <si>
    <t>Chhavi Rana</t>
  </si>
  <si>
    <t>Kamal Rana</t>
  </si>
  <si>
    <t>Sunil Pathak</t>
  </si>
  <si>
    <t>Gopal Pathak</t>
  </si>
  <si>
    <t>Esha Tripathi</t>
  </si>
  <si>
    <t>Ramesh Tripathi</t>
  </si>
  <si>
    <t>Anil Dwivedi</t>
  </si>
  <si>
    <t>Mahesh Dwivedi</t>
  </si>
  <si>
    <t>Falguni Kunwar</t>
  </si>
  <si>
    <t>Jitendra Kunwar</t>
  </si>
  <si>
    <t>Vinod Lohumi</t>
  </si>
  <si>
    <t>Kuldeep Lohumi</t>
  </si>
  <si>
    <t>Garima Saini</t>
  </si>
  <si>
    <t>Brijesh Saini</t>
  </si>
  <si>
    <t>Rajendra Gurjar</t>
  </si>
  <si>
    <t>Hemant Gurjar</t>
  </si>
  <si>
    <t>Hina Valmiki</t>
  </si>
  <si>
    <t>Dinesh Valmiki</t>
  </si>
  <si>
    <t>Devendra Dhankar</t>
  </si>
  <si>
    <t>Naresh Dhankar</t>
  </si>
  <si>
    <t>Ishita Lamba</t>
  </si>
  <si>
    <t>Lokesh Lamba</t>
  </si>
  <si>
    <t>Yogesh Hooda</t>
  </si>
  <si>
    <t>Rakesh Hooda</t>
  </si>
  <si>
    <t>Jaya Dangi</t>
  </si>
  <si>
    <t>Ashok Dangi</t>
  </si>
  <si>
    <t>Kapil Sharma</t>
  </si>
  <si>
    <t>Sunil Sharma</t>
  </si>
  <si>
    <t>Kirti Singh</t>
  </si>
  <si>
    <t>Anil Singh</t>
  </si>
  <si>
    <t>Tarun Gupta</t>
  </si>
  <si>
    <t>Vinod Gupta</t>
  </si>
  <si>
    <t>Lakshmi Yadav</t>
  </si>
  <si>
    <t>Rajendra Yadav</t>
  </si>
  <si>
    <t>Sachin Thakur</t>
  </si>
  <si>
    <t>Devendra Thakur</t>
  </si>
  <si>
    <t>Mona Kumar</t>
  </si>
  <si>
    <t>Yogesh Kumar</t>
  </si>
  <si>
    <t>Mohit Pandey</t>
  </si>
  <si>
    <t>Naveen Pandey</t>
  </si>
  <si>
    <t>Naina Verma</t>
  </si>
  <si>
    <t>Kapil Verma</t>
  </si>
  <si>
    <t>Ajay Mishra</t>
  </si>
  <si>
    <t>Tarun Mishra</t>
  </si>
  <si>
    <t>Ojasvi Jha</t>
  </si>
  <si>
    <t>Sachin Jha</t>
  </si>
  <si>
    <t>Vijay Choudhary</t>
  </si>
  <si>
    <t>Mohit Choudhary</t>
  </si>
  <si>
    <t>Priyanka Tiwari</t>
  </si>
  <si>
    <t>Ajay Tiwari</t>
  </si>
  <si>
    <t>Dinesh Rajput</t>
  </si>
  <si>
    <t>Vijay Rajput</t>
  </si>
  <si>
    <t>Rhea Saxena</t>
  </si>
  <si>
    <t>Dinesh Saxena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</si>
</sst>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2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i/>
      <sz val="14"/>
      <color rgb="FF000000"/>
      <name val="Calibri"/>
      <family val="2"/>
    </font>
    <font>
      <b/>
      <i/>
      <sz val="18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i/>
      <sz val="16"/>
      <color rgb="FF002060"/>
      <name val="Aptos Narrow"/>
      <family val="2"/>
      <scheme val="minor"/>
    </font>
    <font>
      <i/>
      <sz val="12"/>
      <color rgb="FF002060"/>
      <name val="Aptos Narrow"/>
      <family val="2"/>
      <scheme val="minor"/>
    </font>
    <font>
      <b/>
      <i/>
      <sz val="18"/>
      <color rgb="FF00206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4" fillId="0" borderId="14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1" xfId="0" applyFont="1" applyFill="1" applyBorder="1" applyAlignment="1"/>
    <xf numFmtId="0" fontId="3" fillId="0" borderId="0" xfId="0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3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2" fillId="0" borderId="1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7F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333375</xdr:colOff>
      <xdr:row>0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33721-EE8A-CFA6-1110-D3771CA21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333375" cy="333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518D4-87EB-4768-A922-9FC8E44CFE78}" name="data" displayName="data" ref="A1:V69" totalsRowShown="0" headerRowDxfId="23" dataDxfId="22">
  <autoFilter ref="A1:V69" xr:uid="{42F518D4-87EB-4768-A922-9FC8E44CFE78}"/>
  <tableColumns count="22">
    <tableColumn id="1" xr3:uid="{0D636919-CFF3-47C8-A8D7-4A7A60EC03A8}" name="College ID" dataDxfId="21"/>
    <tableColumn id="2" xr3:uid="{C6A12ACA-A4FC-4C3E-91AB-7E98995BD8EF}" name="Student Name " dataDxfId="20"/>
    <tableColumn id="3" xr3:uid="{5B5A4279-B65E-4302-8C06-143B055FDBB8}" name="Father's Name" dataDxfId="19"/>
    <tableColumn id="4" xr3:uid="{01CD2C6D-7F2F-4C72-9830-3D9FBF0517D2}" name="Date of birth" dataDxfId="18"/>
    <tableColumn id="5" xr3:uid="{69096D9E-9C10-44D4-90B2-996F8A5C083B}" name="Material Engineering" dataDxfId="17"/>
    <tableColumn id="6" xr3:uid="{AD3E7F57-9D8C-4D55-9D4B-11C7BFBA1BFD}" name="Material Engineering (sectional)" dataDxfId="16"/>
    <tableColumn id="7" xr3:uid="{35F97368-2284-40A6-B5C0-04BBD1368677}" name="Basic Thermodynamics" dataDxfId="15"/>
    <tableColumn id="8" xr3:uid="{6A319CF7-2646-4DAC-9E82-168C42AAC04E}" name="Basic Thermodynamics (sectional)" dataDxfId="14"/>
    <tableColumn id="9" xr3:uid="{53448D93-4A83-414C-AE9E-9F882ADD96DB}" name="Engineering Mechanics" dataDxfId="13"/>
    <tableColumn id="10" xr3:uid="{7135F7CE-E186-4B17-9687-6D41E9FCF18D}" name="Engineering Mechanics (sectional)" dataDxfId="12"/>
    <tableColumn id="11" xr3:uid="{A050F0B5-40B3-49E2-893A-0E1BC6D4A89A}" name="Phthon Programming" dataDxfId="11"/>
    <tableColumn id="12" xr3:uid="{081D55FB-4BBC-4684-9691-55A402055338}" name="Phthon Programming (sectional)" dataDxfId="10"/>
    <tableColumn id="13" xr3:uid="{B9D68002-2ED2-46F0-85A3-4009F81786A0}" name="Mathematics -III" dataDxfId="9"/>
    <tableColumn id="14" xr3:uid="{EE918828-B0E9-4908-82B6-DE70811AFBE4}" name="Mathematics -III (sectional)" dataDxfId="8"/>
    <tableColumn id="15" xr3:uid="{26BC9998-EFBE-4524-9613-04EE00C021F0}" name="Material Science and Testing Lab" dataDxfId="7"/>
    <tableColumn id="16" xr3:uid="{E54A590C-B4C6-4F24-91D9-A4E7DAF20E3C}" name="Material Science and Testing Lab (sectional)" dataDxfId="6"/>
    <tableColumn id="17" xr3:uid="{38AF333E-CD63-403C-A9D8-BDA4618F311B}" name="Machine Drawing and Solid Modelling Lab" dataDxfId="5"/>
    <tableColumn id="18" xr3:uid="{0F30BFF8-4B1C-4761-B33B-AFA41251F348}" name="Machine Drawing and Solid Modelling Lab (sectional)" dataDxfId="4"/>
    <tableColumn id="19" xr3:uid="{89E6CB77-5295-493F-B558-3A845D936360}" name="Introduction to MATLAB Programming -Phase-I" dataDxfId="3"/>
    <tableColumn id="20" xr3:uid="{C53FB2FA-98EB-4A8F-B322-9560BE780BC7}" name="Introduction to MATLAB Programming -Phase-I (sectional)" dataDxfId="2"/>
    <tableColumn id="21" xr3:uid="{115EF199-A4B3-4E9F-8CB2-081F4D105E10}" name="Python Programming  Lab" dataDxfId="1"/>
    <tableColumn id="22" xr3:uid="{DDC70776-E965-4B50-BA24-30C3A83EC4CE}" name="Python Programming  Lab (sectional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0759-FE5D-419C-A645-74F9D9DB62E0}">
  <dimension ref="A1:H29"/>
  <sheetViews>
    <sheetView showGridLines="0" tabSelected="1" workbookViewId="0">
      <selection activeCell="B9" sqref="B9"/>
    </sheetView>
  </sheetViews>
  <sheetFormatPr defaultRowHeight="15"/>
  <cols>
    <col min="1" max="1" width="47.42578125" bestFit="1" customWidth="1"/>
    <col min="2" max="7" width="13.5703125" customWidth="1"/>
    <col min="8" max="8" width="16.7109375" customWidth="1"/>
  </cols>
  <sheetData>
    <row r="1" spans="1:8" ht="31.5">
      <c r="A1" s="27" t="s">
        <v>0</v>
      </c>
      <c r="B1" s="27"/>
      <c r="C1" s="27"/>
      <c r="D1" s="27"/>
      <c r="E1" s="27"/>
      <c r="F1" s="27"/>
      <c r="G1" s="27"/>
      <c r="H1" s="27"/>
    </row>
    <row r="2" spans="1:8" ht="19.5" customHeight="1">
      <c r="A2" s="4"/>
      <c r="B2" s="4"/>
      <c r="C2" s="4"/>
      <c r="D2" s="4"/>
      <c r="E2" s="4"/>
      <c r="F2" s="4"/>
      <c r="G2" s="4"/>
      <c r="H2" s="4"/>
    </row>
    <row r="3" spans="1:8" ht="24">
      <c r="A3" s="28" t="s">
        <v>1</v>
      </c>
      <c r="B3" s="28"/>
      <c r="C3" s="28"/>
      <c r="D3" s="28"/>
      <c r="E3" s="28"/>
      <c r="F3" s="28"/>
      <c r="G3" s="28"/>
      <c r="H3" s="28"/>
    </row>
    <row r="4" spans="1:8" ht="16.5" customHeight="1">
      <c r="A4" s="20"/>
      <c r="B4" s="20"/>
      <c r="C4" s="20"/>
      <c r="D4" s="20"/>
      <c r="E4" s="20"/>
      <c r="F4" s="20"/>
      <c r="G4" s="20"/>
      <c r="H4" s="20"/>
    </row>
    <row r="5" spans="1:8" ht="21">
      <c r="A5" s="26" t="s">
        <v>2</v>
      </c>
      <c r="B5" s="26"/>
      <c r="C5" s="26"/>
      <c r="D5" s="26"/>
      <c r="E5" s="26"/>
      <c r="F5" s="26"/>
      <c r="G5" s="26"/>
      <c r="H5" s="26"/>
    </row>
    <row r="6" spans="1:8" ht="15.75">
      <c r="A6" s="29" t="s">
        <v>3</v>
      </c>
      <c r="B6" s="29"/>
      <c r="C6" s="29"/>
      <c r="D6" s="29"/>
      <c r="E6" s="29"/>
      <c r="F6" s="29"/>
      <c r="G6" s="29"/>
      <c r="H6" s="29"/>
    </row>
    <row r="7" spans="1:8" ht="15.75">
      <c r="A7" s="40" t="s">
        <v>4</v>
      </c>
      <c r="B7" s="40"/>
      <c r="C7" s="40"/>
      <c r="D7" s="40"/>
      <c r="E7" s="40"/>
      <c r="F7" s="40"/>
      <c r="G7" s="40"/>
      <c r="H7" s="40"/>
    </row>
    <row r="8" spans="1:8">
      <c r="B8" s="19"/>
      <c r="C8" s="19"/>
      <c r="D8" s="19"/>
      <c r="E8" s="19"/>
    </row>
    <row r="9" spans="1:8" ht="18.75">
      <c r="A9" s="7" t="s">
        <v>5</v>
      </c>
      <c r="B9" s="6">
        <v>250143</v>
      </c>
      <c r="C9" s="5"/>
      <c r="D9" s="7" t="s">
        <v>6</v>
      </c>
      <c r="E9" s="5"/>
      <c r="F9" s="39" t="str" cm="1">
        <f t="array" ref="F9">_xlfn.XLOOKUP(B9,data[[#All],[College ID]],data[[#All],[Student Name ]])</f>
        <v>Suresh Joshi</v>
      </c>
      <c r="G9" s="39"/>
      <c r="H9" s="39"/>
    </row>
    <row r="10" spans="1:8" ht="18.75">
      <c r="A10" s="7"/>
      <c r="B10" s="5"/>
      <c r="C10" s="5"/>
      <c r="D10" s="5"/>
      <c r="E10" s="5"/>
      <c r="F10" s="5"/>
      <c r="G10" s="5"/>
      <c r="H10" s="5"/>
    </row>
    <row r="11" spans="1:8" ht="18.75">
      <c r="A11" s="7" t="s">
        <v>7</v>
      </c>
      <c r="B11" s="8" cm="1">
        <f t="array" ref="B11">_xlfn.XLOOKUP(B9,data[[#All],[College ID]],data[[#All],[Date of birth]])</f>
        <v>37000</v>
      </c>
      <c r="C11" s="5"/>
      <c r="D11" s="7" t="s">
        <v>8</v>
      </c>
      <c r="E11" s="5"/>
      <c r="F11" s="39" t="str" cm="1">
        <f t="array" ref="F11">_xlfn.XLOOKUP(B9,data[[#All],[College ID]],data[[#All],[Father''s Name]])</f>
        <v>Sachin Joshi</v>
      </c>
      <c r="G11" s="39"/>
      <c r="H11" s="39"/>
    </row>
    <row r="12" spans="1:8" ht="18.75">
      <c r="A12" s="5"/>
      <c r="B12" s="5"/>
      <c r="C12" s="5"/>
      <c r="D12" s="5"/>
      <c r="E12" s="5"/>
      <c r="F12" s="5"/>
      <c r="G12" s="5"/>
      <c r="H12" s="5"/>
    </row>
    <row r="13" spans="1:8" ht="18.75">
      <c r="A13" s="35" t="s">
        <v>9</v>
      </c>
      <c r="B13" s="32" t="s">
        <v>10</v>
      </c>
      <c r="C13" s="33"/>
      <c r="D13" s="33"/>
      <c r="E13" s="32" t="s">
        <v>11</v>
      </c>
      <c r="F13" s="33"/>
      <c r="G13" s="34"/>
      <c r="H13" s="37" t="s">
        <v>12</v>
      </c>
    </row>
    <row r="14" spans="1:8" ht="18.75">
      <c r="A14" s="36"/>
      <c r="B14" s="25" t="s">
        <v>13</v>
      </c>
      <c r="C14" s="22" t="s">
        <v>14</v>
      </c>
      <c r="D14" s="22" t="s">
        <v>15</v>
      </c>
      <c r="E14" s="25" t="s">
        <v>13</v>
      </c>
      <c r="F14" s="22" t="s">
        <v>14</v>
      </c>
      <c r="G14" s="22" t="s">
        <v>15</v>
      </c>
      <c r="H14" s="38"/>
    </row>
    <row r="15" spans="1:8" ht="18.75">
      <c r="A15" s="9" t="s">
        <v>16</v>
      </c>
      <c r="B15" s="10"/>
      <c r="C15" s="10"/>
      <c r="D15" s="10"/>
      <c r="E15" s="11"/>
      <c r="F15" s="10"/>
      <c r="G15" s="10"/>
      <c r="H15" s="12"/>
    </row>
    <row r="16" spans="1:8" ht="18.75">
      <c r="A16" s="13" t="s">
        <v>17</v>
      </c>
      <c r="B16" s="14">
        <v>90</v>
      </c>
      <c r="C16" s="10">
        <v>60</v>
      </c>
      <c r="D16" s="10">
        <f>SUM(B16:C16)</f>
        <v>150</v>
      </c>
      <c r="E16" s="11" cm="1">
        <f t="array" ref="E16">_xlfn.XLOOKUP(B9,data[[#All],[College ID]],data[[#All],[Material Engineering]])</f>
        <v>53</v>
      </c>
      <c r="F16" s="10" cm="1">
        <f t="array" ref="F16">_xlfn.XLOOKUP(B9,data[[#All],[College ID]],data[[#All],[Material Engineering (sectional)]])</f>
        <v>48</v>
      </c>
      <c r="G16" s="10">
        <f>SUM(E16:F16)</f>
        <v>101</v>
      </c>
      <c r="H16" s="12" t="str">
        <f>IF((G16/D16)&gt;=0.4, "PASS", "CARRY OVER")</f>
        <v>PASS</v>
      </c>
    </row>
    <row r="17" spans="1:8" ht="18.75">
      <c r="A17" s="13" t="s">
        <v>18</v>
      </c>
      <c r="B17" s="10">
        <v>120</v>
      </c>
      <c r="C17" s="10">
        <v>80</v>
      </c>
      <c r="D17" s="10">
        <f t="shared" ref="D17:D25" si="0">SUM(B17:C17)</f>
        <v>200</v>
      </c>
      <c r="E17" s="11" cm="1">
        <f t="array" ref="E17">_xlfn.XLOOKUP(B9,data[[#All],[College ID]],data[[#All],[Basic Thermodynamics]])</f>
        <v>66</v>
      </c>
      <c r="F17" s="10" cm="1">
        <f t="array" ref="F17">_xlfn.XLOOKUP(B9,data[[#All],[College ID]],data[[#All],[Basic Thermodynamics (sectional)]],)</f>
        <v>63</v>
      </c>
      <c r="G17" s="10">
        <f t="shared" ref="G17:G25" si="1">SUM(E17:F17)</f>
        <v>129</v>
      </c>
      <c r="H17" s="12" t="str">
        <f t="shared" ref="H17:H25" si="2">IF((G17/D17)&gt;=0.4, "PASS", "CARRY OVER")</f>
        <v>PASS</v>
      </c>
    </row>
    <row r="18" spans="1:8" ht="18.75">
      <c r="A18" s="13" t="s">
        <v>19</v>
      </c>
      <c r="B18" s="10">
        <v>120</v>
      </c>
      <c r="C18" s="10">
        <v>80</v>
      </c>
      <c r="D18" s="10">
        <f t="shared" si="0"/>
        <v>200</v>
      </c>
      <c r="E18" s="11" cm="1">
        <f t="array" ref="E18">_xlfn.XLOOKUP(B9,data[[#All],[College ID]],data[[#All],[Engineering Mechanics]])</f>
        <v>82</v>
      </c>
      <c r="F18" s="10" cm="1">
        <f t="array" ref="F18">_xlfn.XLOOKUP(B9,data[[#All],[College ID]],data[[#All],[Engineering Mechanics (sectional)]])</f>
        <v>72</v>
      </c>
      <c r="G18" s="10">
        <f t="shared" si="1"/>
        <v>154</v>
      </c>
      <c r="H18" s="12" t="str">
        <f t="shared" si="2"/>
        <v>PASS</v>
      </c>
    </row>
    <row r="19" spans="1:8" ht="18.75">
      <c r="A19" s="13" t="s">
        <v>20</v>
      </c>
      <c r="B19" s="10">
        <v>90</v>
      </c>
      <c r="C19" s="10">
        <v>60</v>
      </c>
      <c r="D19" s="10">
        <f t="shared" si="0"/>
        <v>150</v>
      </c>
      <c r="E19" s="11" cm="1">
        <f t="array" ref="E19">_xlfn.XLOOKUP(B9,data[[#All],[College ID]],data[[#All],[Phthon Programming]])</f>
        <v>44</v>
      </c>
      <c r="F19" s="10" cm="1">
        <f t="array" ref="F19">_xlfn.XLOOKUP(B9,data[[#All],[College ID]],data[[#All],[Phthon Programming (sectional)]])</f>
        <v>48</v>
      </c>
      <c r="G19" s="10">
        <f t="shared" si="1"/>
        <v>92</v>
      </c>
      <c r="H19" s="12" t="str">
        <f t="shared" si="2"/>
        <v>PASS</v>
      </c>
    </row>
    <row r="20" spans="1:8" ht="18.75">
      <c r="A20" s="13" t="s">
        <v>21</v>
      </c>
      <c r="B20" s="10">
        <v>120</v>
      </c>
      <c r="C20" s="10">
        <v>80</v>
      </c>
      <c r="D20" s="10">
        <f t="shared" si="0"/>
        <v>200</v>
      </c>
      <c r="E20" s="11" cm="1">
        <f t="array" ref="E20">_xlfn.XLOOKUP(B9,data[[#All],[College ID]],data[[#All],[Mathematics -III]])</f>
        <v>66</v>
      </c>
      <c r="F20" s="10" cm="1">
        <f t="array" ref="F20">_xlfn.XLOOKUP(B9,data[[#All],[College ID]],data[[#All],[Mathematics -III (sectional)]])</f>
        <v>53</v>
      </c>
      <c r="G20" s="10">
        <f t="shared" si="1"/>
        <v>119</v>
      </c>
      <c r="H20" s="12" t="str">
        <f t="shared" si="2"/>
        <v>PASS</v>
      </c>
    </row>
    <row r="21" spans="1:8" ht="18.75">
      <c r="A21" s="15" t="s">
        <v>22</v>
      </c>
      <c r="B21" s="10"/>
      <c r="C21" s="10"/>
      <c r="D21" s="10"/>
      <c r="E21" s="11"/>
      <c r="F21" s="10"/>
      <c r="G21" s="10"/>
      <c r="H21" s="12"/>
    </row>
    <row r="22" spans="1:8" ht="18.75">
      <c r="A22" s="13" t="s">
        <v>23</v>
      </c>
      <c r="B22" s="10">
        <v>25</v>
      </c>
      <c r="C22" s="10">
        <v>25</v>
      </c>
      <c r="D22" s="10">
        <f t="shared" si="0"/>
        <v>50</v>
      </c>
      <c r="E22" s="11" cm="1">
        <f t="array" ref="E22">_xlfn.XLOOKUP(B9,data[[#All],[College ID]],data[[#All],[Material Science and Testing Lab]])</f>
        <v>16</v>
      </c>
      <c r="F22" s="10" cm="1">
        <f t="array" ref="F22">_xlfn.XLOOKUP(B9,data[[#All],[College ID]],data[[#All],[Material Science and Testing Lab (sectional)]])</f>
        <v>20</v>
      </c>
      <c r="G22" s="10">
        <f t="shared" si="1"/>
        <v>36</v>
      </c>
      <c r="H22" s="12" t="str">
        <f t="shared" si="2"/>
        <v>PASS</v>
      </c>
    </row>
    <row r="23" spans="1:8" ht="18.75">
      <c r="A23" s="13" t="s">
        <v>24</v>
      </c>
      <c r="B23" s="10">
        <v>25</v>
      </c>
      <c r="C23" s="10">
        <v>25</v>
      </c>
      <c r="D23" s="10">
        <f t="shared" si="0"/>
        <v>50</v>
      </c>
      <c r="E23" s="11" cm="1">
        <f t="array" ref="E23">_xlfn.XLOOKUP(B9,data[[#All],[College ID]],data[[#All],[Machine Drawing and Solid Modelling Lab]])</f>
        <v>14</v>
      </c>
      <c r="F23" s="10" cm="1">
        <f t="array" ref="F23">_xlfn.XLOOKUP(B9,data[[#All],[College ID]],data[[#All],[Machine Drawing and Solid Modelling Lab (sectional)]])</f>
        <v>19</v>
      </c>
      <c r="G23" s="10">
        <f t="shared" si="1"/>
        <v>33</v>
      </c>
      <c r="H23" s="12" t="str">
        <f t="shared" si="2"/>
        <v>PASS</v>
      </c>
    </row>
    <row r="24" spans="1:8" ht="18.75">
      <c r="A24" s="13" t="s">
        <v>25</v>
      </c>
      <c r="B24" s="10">
        <v>25</v>
      </c>
      <c r="C24" s="10">
        <v>25</v>
      </c>
      <c r="D24" s="10">
        <f t="shared" si="0"/>
        <v>50</v>
      </c>
      <c r="E24" s="11" cm="1">
        <f t="array" ref="E24">_xlfn.XLOOKUP(B9,data[[#All],[College ID]],data[[#All],[Introduction to MATLAB Programming -Phase-I]])</f>
        <v>18</v>
      </c>
      <c r="F24" s="10" cm="1">
        <f t="array" ref="F24">_xlfn.XLOOKUP(B9,data[[#All],[College ID]],data[[#All],[Introduction to MATLAB Programming -Phase-I (sectional)]])</f>
        <v>23</v>
      </c>
      <c r="G24" s="10">
        <f t="shared" si="1"/>
        <v>41</v>
      </c>
      <c r="H24" s="12" t="str">
        <f t="shared" si="2"/>
        <v>PASS</v>
      </c>
    </row>
    <row r="25" spans="1:8" ht="18.75">
      <c r="A25" s="13" t="s">
        <v>26</v>
      </c>
      <c r="B25" s="10">
        <v>25</v>
      </c>
      <c r="C25" s="10">
        <v>25</v>
      </c>
      <c r="D25" s="10">
        <f t="shared" si="0"/>
        <v>50</v>
      </c>
      <c r="E25" s="11" cm="1">
        <f t="array" ref="E25">_xlfn.XLOOKUP(B9,data[[#All],[College ID]],data[[#All],[Python Programming  Lab]])</f>
        <v>0</v>
      </c>
      <c r="F25" s="10" cm="1">
        <f t="array" ref="F25">_xlfn.XLOOKUP(B9,data[[#All],[College ID]],data[[#All],[Python Programming  Lab (sectional)]])</f>
        <v>14</v>
      </c>
      <c r="G25" s="10">
        <f t="shared" si="1"/>
        <v>14</v>
      </c>
      <c r="H25" s="12" t="str">
        <f t="shared" si="2"/>
        <v>CARRY OVER</v>
      </c>
    </row>
    <row r="26" spans="1:8" ht="18.75">
      <c r="A26" s="16" t="s">
        <v>27</v>
      </c>
      <c r="B26" s="21">
        <f>SUM(B16:B25)</f>
        <v>640</v>
      </c>
      <c r="C26" s="21">
        <f t="shared" ref="C26:G26" si="3">SUM(C16:C25)</f>
        <v>460</v>
      </c>
      <c r="D26" s="21">
        <f t="shared" si="3"/>
        <v>1100</v>
      </c>
      <c r="E26" s="23">
        <f t="shared" si="3"/>
        <v>359</v>
      </c>
      <c r="F26" s="21">
        <f t="shared" si="3"/>
        <v>360</v>
      </c>
      <c r="G26" s="21">
        <f t="shared" si="3"/>
        <v>719</v>
      </c>
      <c r="H26" s="17"/>
    </row>
    <row r="27" spans="1:8" ht="18.75">
      <c r="A27" s="5"/>
      <c r="B27" s="5"/>
      <c r="C27" s="5"/>
      <c r="D27" s="5"/>
      <c r="E27" s="5"/>
      <c r="F27" s="5"/>
      <c r="G27" s="5"/>
      <c r="H27" s="5"/>
    </row>
    <row r="28" spans="1:8" ht="18.75">
      <c r="A28" s="23" t="s">
        <v>28</v>
      </c>
      <c r="B28" s="30" t="s">
        <v>29</v>
      </c>
      <c r="C28" s="31"/>
      <c r="D28" s="43" t="s">
        <v>30</v>
      </c>
      <c r="E28" s="43"/>
      <c r="F28" s="30" t="s">
        <v>31</v>
      </c>
      <c r="G28" s="31"/>
      <c r="H28" s="24" t="s">
        <v>32</v>
      </c>
    </row>
    <row r="29" spans="1:8" ht="18.75">
      <c r="A29" s="25" t="str" cm="1">
        <f t="array" ref="A29">_xlfn.IFS(COUNTIFS(H16:H25,"CARRY OVER")=9,"FAIL",COUNTIFS(H16:H25,"CARRY OVER")&gt;=1, "PASS WITH BACK", COUNTIFS(H16:H25,"CARRY OVER")=0, "PASS")</f>
        <v>PASS WITH BACK</v>
      </c>
      <c r="B29" s="45">
        <f>D26</f>
        <v>1100</v>
      </c>
      <c r="C29" s="46"/>
      <c r="D29" s="44">
        <f>G26</f>
        <v>719</v>
      </c>
      <c r="E29" s="44"/>
      <c r="F29" s="41">
        <f>D29/B29</f>
        <v>0.65363636363636368</v>
      </c>
      <c r="G29" s="42"/>
      <c r="H29" s="18" t="str" cm="1">
        <f t="array" ref="H29">_xlfn.IFS(F29&gt;=90%,"A+", F29&gt;=80%, "A", F29&gt;=70%, "B", F29&gt;=60%, "C", F29&gt;=45%, "D", F29&gt;=33%, "E",F29&lt;33%, "F")</f>
        <v>C</v>
      </c>
    </row>
  </sheetData>
  <sheetProtection sheet="1" objects="1" scenarios="1"/>
  <mergeCells count="17">
    <mergeCell ref="F29:G29"/>
    <mergeCell ref="D28:E28"/>
    <mergeCell ref="D29:E29"/>
    <mergeCell ref="B28:C28"/>
    <mergeCell ref="B29:C29"/>
    <mergeCell ref="A5:H5"/>
    <mergeCell ref="A1:H1"/>
    <mergeCell ref="A3:H3"/>
    <mergeCell ref="A6:H6"/>
    <mergeCell ref="F28:G28"/>
    <mergeCell ref="B13:D13"/>
    <mergeCell ref="E13:G13"/>
    <mergeCell ref="A13:A14"/>
    <mergeCell ref="H13:H14"/>
    <mergeCell ref="F9:H9"/>
    <mergeCell ref="F11:H11"/>
    <mergeCell ref="A7:H7"/>
  </mergeCells>
  <conditionalFormatting sqref="E16">
    <cfRule type="cellIs" dxfId="45" priority="22" operator="lessThan">
      <formula>26</formula>
    </cfRule>
  </conditionalFormatting>
  <conditionalFormatting sqref="G16">
    <cfRule type="cellIs" dxfId="44" priority="21" operator="lessThan">
      <formula>59</formula>
    </cfRule>
  </conditionalFormatting>
  <conditionalFormatting sqref="E17">
    <cfRule type="cellIs" dxfId="43" priority="20" operator="lessThan">
      <formula>35</formula>
    </cfRule>
  </conditionalFormatting>
  <conditionalFormatting sqref="G17">
    <cfRule type="cellIs" dxfId="42" priority="19" operator="lessThan">
      <formula>79</formula>
    </cfRule>
  </conditionalFormatting>
  <conditionalFormatting sqref="E18">
    <cfRule type="cellIs" dxfId="41" priority="18" operator="lessThan">
      <formula>35</formula>
    </cfRule>
  </conditionalFormatting>
  <conditionalFormatting sqref="G18">
    <cfRule type="cellIs" dxfId="40" priority="17" operator="lessThan">
      <formula>79</formula>
    </cfRule>
  </conditionalFormatting>
  <conditionalFormatting sqref="E19">
    <cfRule type="cellIs" dxfId="39" priority="16" operator="lessThan">
      <formula>26</formula>
    </cfRule>
  </conditionalFormatting>
  <conditionalFormatting sqref="G19">
    <cfRule type="cellIs" dxfId="38" priority="15" operator="lessThan">
      <formula>59</formula>
    </cfRule>
  </conditionalFormatting>
  <conditionalFormatting sqref="E20">
    <cfRule type="cellIs" dxfId="37" priority="14" operator="lessThan">
      <formula>35</formula>
    </cfRule>
  </conditionalFormatting>
  <conditionalFormatting sqref="G20">
    <cfRule type="cellIs" dxfId="36" priority="13" operator="lessThan">
      <formula>79</formula>
    </cfRule>
  </conditionalFormatting>
  <conditionalFormatting sqref="E22:E25">
    <cfRule type="cellIs" dxfId="35" priority="12" operator="lessThan">
      <formula>12</formula>
    </cfRule>
  </conditionalFormatting>
  <conditionalFormatting sqref="G22:G25">
    <cfRule type="cellIs" dxfId="34" priority="11" operator="lessThan">
      <formula>24</formula>
    </cfRule>
  </conditionalFormatting>
  <conditionalFormatting sqref="H16:H25">
    <cfRule type="containsText" dxfId="33" priority="10" operator="containsText" text="CARRY OVER">
      <formula>NOT(ISERROR(SEARCH("CARRY OVER",H16)))</formula>
    </cfRule>
  </conditionalFormatting>
  <conditionalFormatting sqref="H16:H25">
    <cfRule type="containsText" dxfId="32" priority="9" operator="containsText" text="PASS">
      <formula>NOT(ISERROR(SEARCH("PASS",H16)))</formula>
    </cfRule>
  </conditionalFormatting>
  <conditionalFormatting sqref="H29">
    <cfRule type="cellIs" dxfId="31" priority="8" operator="equal">
      <formula>"F"</formula>
    </cfRule>
  </conditionalFormatting>
  <conditionalFormatting sqref="H29">
    <cfRule type="cellIs" dxfId="30" priority="7" operator="equal">
      <formula>"A+"</formula>
    </cfRule>
  </conditionalFormatting>
  <conditionalFormatting sqref="H29">
    <cfRule type="cellIs" dxfId="29" priority="6" operator="equal">
      <formula>"A"</formula>
    </cfRule>
  </conditionalFormatting>
  <conditionalFormatting sqref="H29">
    <cfRule type="cellIs" dxfId="28" priority="5" operator="equal">
      <formula>"D"</formula>
    </cfRule>
  </conditionalFormatting>
  <conditionalFormatting sqref="H29">
    <cfRule type="cellIs" dxfId="27" priority="4" operator="equal">
      <formula>"E"</formula>
    </cfRule>
  </conditionalFormatting>
  <conditionalFormatting sqref="A29">
    <cfRule type="cellIs" dxfId="26" priority="3" operator="equal">
      <formula>"FAIL"</formula>
    </cfRule>
  </conditionalFormatting>
  <conditionalFormatting sqref="A29">
    <cfRule type="cellIs" dxfId="25" priority="2" operator="equal">
      <formula>"PASS"</formula>
    </cfRule>
  </conditionalFormatting>
  <conditionalFormatting sqref="A29">
    <cfRule type="containsText" dxfId="24" priority="1" operator="containsText" text="WITH">
      <formula>NOT(ISERROR(SEARCH("WITH",A29)))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DAFF25-AB4B-41EB-9042-0223C4759AD9}">
          <x14:formula1>
            <xm:f>data!$A$2:$A$69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workbookViewId="0">
      <selection activeCell="F18" sqref="F18"/>
    </sheetView>
  </sheetViews>
  <sheetFormatPr defaultRowHeight="15"/>
  <cols>
    <col min="1" max="1" width="12" bestFit="1" customWidth="1"/>
    <col min="2" max="2" width="17.140625" bestFit="1" customWidth="1"/>
    <col min="3" max="3" width="18" bestFit="1" customWidth="1"/>
    <col min="4" max="4" width="18" customWidth="1"/>
    <col min="5" max="5" width="21.7109375" bestFit="1" customWidth="1"/>
    <col min="6" max="6" width="30.7109375" bestFit="1" customWidth="1"/>
    <col min="7" max="7" width="23.5703125" bestFit="1" customWidth="1"/>
    <col min="8" max="8" width="30.7109375" bestFit="1" customWidth="1"/>
    <col min="9" max="9" width="23.5703125" bestFit="1" customWidth="1"/>
    <col min="10" max="10" width="30.7109375" bestFit="1" customWidth="1"/>
    <col min="11" max="11" width="22.140625" bestFit="1" customWidth="1"/>
    <col min="12" max="12" width="30.7109375" bestFit="1" customWidth="1"/>
    <col min="13" max="13" width="17.7109375" bestFit="1" customWidth="1"/>
    <col min="14" max="14" width="27.5703125" bestFit="1" customWidth="1"/>
    <col min="15" max="15" width="30.7109375" bestFit="1" customWidth="1"/>
    <col min="16" max="20" width="36.5703125" bestFit="1" customWidth="1"/>
    <col min="21" max="21" width="26.140625" bestFit="1" customWidth="1"/>
    <col min="22" max="22" width="33" bestFit="1" customWidth="1"/>
  </cols>
  <sheetData>
    <row r="1" spans="1:22" ht="30.75">
      <c r="A1" s="1" t="s">
        <v>5</v>
      </c>
      <c r="B1" s="1" t="s">
        <v>33</v>
      </c>
      <c r="C1" s="1" t="s">
        <v>8</v>
      </c>
      <c r="D1" s="1" t="s">
        <v>34</v>
      </c>
      <c r="E1" s="1" t="s">
        <v>17</v>
      </c>
      <c r="F1" s="1" t="s">
        <v>35</v>
      </c>
      <c r="G1" s="1" t="s">
        <v>18</v>
      </c>
      <c r="H1" s="1" t="s">
        <v>36</v>
      </c>
      <c r="I1" s="1" t="s">
        <v>19</v>
      </c>
      <c r="J1" s="1" t="s">
        <v>37</v>
      </c>
      <c r="K1" s="1" t="s">
        <v>20</v>
      </c>
      <c r="L1" s="1" t="s">
        <v>38</v>
      </c>
      <c r="M1" s="1" t="s">
        <v>21</v>
      </c>
      <c r="N1" s="1" t="s">
        <v>39</v>
      </c>
      <c r="O1" s="1" t="s">
        <v>23</v>
      </c>
      <c r="P1" s="2" t="s">
        <v>40</v>
      </c>
      <c r="Q1" s="2" t="s">
        <v>24</v>
      </c>
      <c r="R1" s="2" t="s">
        <v>41</v>
      </c>
      <c r="S1" s="2" t="s">
        <v>42</v>
      </c>
      <c r="T1" s="2" t="s">
        <v>43</v>
      </c>
      <c r="U1" s="1" t="s">
        <v>26</v>
      </c>
      <c r="V1" s="1" t="s">
        <v>44</v>
      </c>
    </row>
    <row r="2" spans="1:22">
      <c r="A2" s="1">
        <v>250115</v>
      </c>
      <c r="B2" s="1" t="s">
        <v>45</v>
      </c>
      <c r="C2" s="1" t="s">
        <v>46</v>
      </c>
      <c r="D2" s="3">
        <v>36752</v>
      </c>
      <c r="E2" s="1">
        <v>85</v>
      </c>
      <c r="F2" s="1">
        <v>55</v>
      </c>
      <c r="G2" s="1">
        <v>118</v>
      </c>
      <c r="H2" s="1">
        <v>69</v>
      </c>
      <c r="I2" s="1">
        <v>119</v>
      </c>
      <c r="J2" s="1">
        <v>79</v>
      </c>
      <c r="K2" s="1">
        <v>85</v>
      </c>
      <c r="L2" s="1">
        <v>59</v>
      </c>
      <c r="M2" s="1">
        <v>114</v>
      </c>
      <c r="N2" s="1">
        <v>59</v>
      </c>
      <c r="O2" s="1">
        <v>21</v>
      </c>
      <c r="P2" s="2">
        <v>22</v>
      </c>
      <c r="Q2" s="2">
        <v>23</v>
      </c>
      <c r="R2" s="2">
        <v>22</v>
      </c>
      <c r="S2" s="2">
        <v>18</v>
      </c>
      <c r="T2" s="2">
        <v>23</v>
      </c>
      <c r="U2" s="1">
        <v>19</v>
      </c>
      <c r="V2" s="1">
        <v>21</v>
      </c>
    </row>
    <row r="3" spans="1:22">
      <c r="A3" s="1">
        <v>250116</v>
      </c>
      <c r="B3" s="1" t="s">
        <v>47</v>
      </c>
      <c r="C3" s="1" t="s">
        <v>48</v>
      </c>
      <c r="D3" s="3">
        <v>36972</v>
      </c>
      <c r="E3" s="1">
        <v>65</v>
      </c>
      <c r="F3" s="1">
        <v>50</v>
      </c>
      <c r="G3" s="1">
        <v>13</v>
      </c>
      <c r="H3" s="1">
        <v>9</v>
      </c>
      <c r="I3" s="1">
        <v>90</v>
      </c>
      <c r="J3" s="1">
        <v>75</v>
      </c>
      <c r="K3" s="1">
        <v>59</v>
      </c>
      <c r="L3" s="1">
        <v>56</v>
      </c>
      <c r="M3" s="1">
        <v>10</v>
      </c>
      <c r="N3" s="1">
        <v>12</v>
      </c>
      <c r="O3" s="1">
        <v>20</v>
      </c>
      <c r="P3" s="2">
        <v>21</v>
      </c>
      <c r="Q3" s="2">
        <v>19</v>
      </c>
      <c r="R3" s="2">
        <v>17</v>
      </c>
      <c r="S3" s="2">
        <v>18</v>
      </c>
      <c r="T3" s="2">
        <v>23</v>
      </c>
      <c r="U3" s="1">
        <v>18</v>
      </c>
      <c r="V3" s="1">
        <v>20</v>
      </c>
    </row>
    <row r="4" spans="1:22">
      <c r="A4" s="1">
        <v>250117</v>
      </c>
      <c r="B4" s="1" t="s">
        <v>49</v>
      </c>
      <c r="C4" s="1" t="s">
        <v>50</v>
      </c>
      <c r="D4" s="3">
        <v>37567</v>
      </c>
      <c r="E4" s="1">
        <v>62</v>
      </c>
      <c r="F4" s="1">
        <v>47</v>
      </c>
      <c r="G4" s="1">
        <v>72</v>
      </c>
      <c r="H4" s="1">
        <v>65</v>
      </c>
      <c r="I4" s="1">
        <v>78</v>
      </c>
      <c r="J4" s="1">
        <v>68</v>
      </c>
      <c r="K4" s="1">
        <v>51</v>
      </c>
      <c r="L4" s="1">
        <v>53</v>
      </c>
      <c r="M4" s="1">
        <v>60</v>
      </c>
      <c r="N4" s="1">
        <v>62</v>
      </c>
      <c r="O4" s="1">
        <v>16</v>
      </c>
      <c r="P4" s="2">
        <v>18</v>
      </c>
      <c r="Q4" s="2">
        <v>13</v>
      </c>
      <c r="R4" s="2">
        <v>15</v>
      </c>
      <c r="S4" s="2">
        <v>18</v>
      </c>
      <c r="T4" s="2">
        <v>23</v>
      </c>
      <c r="U4" s="1">
        <v>14</v>
      </c>
      <c r="V4" s="1">
        <v>15</v>
      </c>
    </row>
    <row r="5" spans="1:22">
      <c r="A5" s="1">
        <v>250118</v>
      </c>
      <c r="B5" s="1" t="s">
        <v>51</v>
      </c>
      <c r="C5" s="1" t="s">
        <v>52</v>
      </c>
      <c r="D5" s="3">
        <v>36664</v>
      </c>
      <c r="E5" s="1">
        <v>59</v>
      </c>
      <c r="F5" s="1">
        <v>47</v>
      </c>
      <c r="G5" s="1">
        <v>64</v>
      </c>
      <c r="H5" s="1">
        <v>59</v>
      </c>
      <c r="I5" s="1">
        <v>92</v>
      </c>
      <c r="J5" s="1">
        <v>65</v>
      </c>
      <c r="K5" s="1">
        <v>36</v>
      </c>
      <c r="L5" s="1">
        <v>47</v>
      </c>
      <c r="M5" s="1">
        <v>84</v>
      </c>
      <c r="N5" s="1">
        <v>62</v>
      </c>
      <c r="O5" s="1">
        <v>20</v>
      </c>
      <c r="P5" s="2">
        <v>21</v>
      </c>
      <c r="Q5" s="2">
        <v>19</v>
      </c>
      <c r="R5" s="2">
        <v>18</v>
      </c>
      <c r="S5" s="2">
        <v>18</v>
      </c>
      <c r="T5" s="2">
        <v>23</v>
      </c>
      <c r="U5" s="1">
        <v>21</v>
      </c>
      <c r="V5" s="1">
        <v>23</v>
      </c>
    </row>
    <row r="6" spans="1:22">
      <c r="A6" s="1">
        <v>250119</v>
      </c>
      <c r="B6" s="1" t="s">
        <v>53</v>
      </c>
      <c r="C6" s="1" t="s">
        <v>54</v>
      </c>
      <c r="D6" s="3">
        <v>37164</v>
      </c>
      <c r="E6" s="1">
        <v>69</v>
      </c>
      <c r="F6" s="1">
        <v>48</v>
      </c>
      <c r="G6" s="1">
        <v>72</v>
      </c>
      <c r="H6" s="1">
        <v>76</v>
      </c>
      <c r="I6" s="1">
        <v>90</v>
      </c>
      <c r="J6" s="1">
        <v>68</v>
      </c>
      <c r="K6" s="1">
        <v>62</v>
      </c>
      <c r="L6" s="1">
        <v>51</v>
      </c>
      <c r="M6" s="1">
        <v>84</v>
      </c>
      <c r="N6" s="1">
        <v>59</v>
      </c>
      <c r="O6" s="1">
        <v>17</v>
      </c>
      <c r="P6" s="2">
        <v>20</v>
      </c>
      <c r="Q6" s="2">
        <v>16</v>
      </c>
      <c r="R6" s="2">
        <v>17</v>
      </c>
      <c r="S6" s="2">
        <v>18</v>
      </c>
      <c r="T6" s="2">
        <v>23</v>
      </c>
      <c r="U6" s="1">
        <v>16</v>
      </c>
      <c r="V6" s="1">
        <v>15</v>
      </c>
    </row>
    <row r="7" spans="1:22">
      <c r="A7" s="1">
        <v>250120</v>
      </c>
      <c r="B7" s="1" t="s">
        <v>55</v>
      </c>
      <c r="C7" s="1" t="s">
        <v>56</v>
      </c>
      <c r="D7" s="3">
        <v>37301</v>
      </c>
      <c r="E7" s="1">
        <v>65</v>
      </c>
      <c r="F7" s="1">
        <v>47</v>
      </c>
      <c r="G7" s="1">
        <v>88</v>
      </c>
      <c r="H7" s="1">
        <v>76</v>
      </c>
      <c r="I7" s="1">
        <v>94</v>
      </c>
      <c r="J7" s="1">
        <v>71</v>
      </c>
      <c r="K7" s="1">
        <v>60</v>
      </c>
      <c r="L7" s="1">
        <v>54</v>
      </c>
      <c r="M7" s="1">
        <v>74</v>
      </c>
      <c r="N7" s="1">
        <v>57</v>
      </c>
      <c r="O7" s="1">
        <v>20</v>
      </c>
      <c r="P7" s="2">
        <v>21</v>
      </c>
      <c r="Q7" s="2">
        <v>17</v>
      </c>
      <c r="R7" s="2">
        <v>18</v>
      </c>
      <c r="S7" s="2">
        <v>18</v>
      </c>
      <c r="T7" s="2">
        <v>23</v>
      </c>
      <c r="U7" s="1">
        <v>16</v>
      </c>
      <c r="V7" s="1">
        <v>18</v>
      </c>
    </row>
    <row r="8" spans="1:22">
      <c r="A8" s="1">
        <v>250121</v>
      </c>
      <c r="B8" s="1" t="s">
        <v>57</v>
      </c>
      <c r="C8" s="1" t="s">
        <v>58</v>
      </c>
      <c r="D8" s="3">
        <v>36885</v>
      </c>
      <c r="E8" s="1">
        <v>72</v>
      </c>
      <c r="F8" s="1">
        <v>49</v>
      </c>
      <c r="G8" s="1">
        <v>90</v>
      </c>
      <c r="H8" s="1">
        <v>72</v>
      </c>
      <c r="I8" s="1">
        <v>98</v>
      </c>
      <c r="J8" s="1">
        <v>72</v>
      </c>
      <c r="K8" s="1">
        <v>54</v>
      </c>
      <c r="L8" s="1">
        <v>54</v>
      </c>
      <c r="M8" s="1">
        <v>86</v>
      </c>
      <c r="N8" s="1">
        <v>62</v>
      </c>
      <c r="O8" s="1">
        <v>19</v>
      </c>
      <c r="P8" s="2">
        <v>20</v>
      </c>
      <c r="Q8" s="2">
        <v>21</v>
      </c>
      <c r="R8" s="2">
        <v>22</v>
      </c>
      <c r="S8" s="2">
        <v>18</v>
      </c>
      <c r="T8" s="2">
        <v>23</v>
      </c>
      <c r="U8" s="1">
        <v>18</v>
      </c>
      <c r="V8" s="1">
        <v>20</v>
      </c>
    </row>
    <row r="9" spans="1:22">
      <c r="A9" s="1">
        <v>250122</v>
      </c>
      <c r="B9" s="1" t="s">
        <v>59</v>
      </c>
      <c r="C9" s="1" t="s">
        <v>60</v>
      </c>
      <c r="D9" s="3">
        <v>37083</v>
      </c>
      <c r="E9" s="1">
        <v>62</v>
      </c>
      <c r="F9" s="1">
        <v>47</v>
      </c>
      <c r="G9" s="1">
        <v>66</v>
      </c>
      <c r="H9" s="1">
        <v>65</v>
      </c>
      <c r="I9" s="1">
        <v>68</v>
      </c>
      <c r="J9" s="1">
        <v>68</v>
      </c>
      <c r="K9" s="1">
        <v>44</v>
      </c>
      <c r="L9" s="1">
        <v>53</v>
      </c>
      <c r="M9" s="1">
        <v>76</v>
      </c>
      <c r="N9" s="1">
        <v>57</v>
      </c>
      <c r="O9" s="1">
        <v>19</v>
      </c>
      <c r="P9" s="2">
        <v>20</v>
      </c>
      <c r="Q9" s="2">
        <v>16</v>
      </c>
      <c r="R9" s="2">
        <v>17</v>
      </c>
      <c r="S9" s="2">
        <v>18</v>
      </c>
      <c r="T9" s="2">
        <v>23</v>
      </c>
      <c r="U9" s="1">
        <v>17</v>
      </c>
      <c r="V9" s="1">
        <v>19</v>
      </c>
    </row>
    <row r="10" spans="1:22">
      <c r="A10" s="1">
        <v>250123</v>
      </c>
      <c r="B10" s="1" t="s">
        <v>61</v>
      </c>
      <c r="C10" s="1" t="s">
        <v>62</v>
      </c>
      <c r="D10" s="3">
        <v>37349</v>
      </c>
      <c r="E10" s="1">
        <v>65</v>
      </c>
      <c r="F10" s="1">
        <v>47</v>
      </c>
      <c r="G10" s="1">
        <v>70</v>
      </c>
      <c r="H10" s="1">
        <v>76</v>
      </c>
      <c r="I10" s="1">
        <v>92</v>
      </c>
      <c r="J10" s="1">
        <v>74</v>
      </c>
      <c r="K10" s="1">
        <v>56</v>
      </c>
      <c r="L10" s="1">
        <v>54</v>
      </c>
      <c r="M10" s="1">
        <v>66</v>
      </c>
      <c r="N10" s="1">
        <v>54</v>
      </c>
      <c r="O10" s="1">
        <v>17</v>
      </c>
      <c r="P10" s="2">
        <v>18</v>
      </c>
      <c r="Q10" s="2">
        <v>16</v>
      </c>
      <c r="R10" s="2">
        <v>15</v>
      </c>
      <c r="S10" s="2">
        <v>18</v>
      </c>
      <c r="T10" s="2">
        <v>23</v>
      </c>
      <c r="U10" s="1">
        <v>18</v>
      </c>
      <c r="V10" s="1">
        <v>21</v>
      </c>
    </row>
    <row r="11" spans="1:22">
      <c r="A11" s="1">
        <v>250124</v>
      </c>
      <c r="B11" s="1" t="s">
        <v>63</v>
      </c>
      <c r="C11" s="1" t="s">
        <v>64</v>
      </c>
      <c r="D11" s="3">
        <v>36534</v>
      </c>
      <c r="E11" s="1">
        <v>45</v>
      </c>
      <c r="F11" s="1">
        <v>47</v>
      </c>
      <c r="G11" s="1">
        <v>56</v>
      </c>
      <c r="H11" s="1">
        <v>76</v>
      </c>
      <c r="I11" s="1">
        <v>94</v>
      </c>
      <c r="J11" s="1">
        <v>64</v>
      </c>
      <c r="K11" s="1">
        <v>42</v>
      </c>
      <c r="L11" s="1">
        <v>49</v>
      </c>
      <c r="M11" s="1">
        <v>64</v>
      </c>
      <c r="N11" s="1">
        <v>44</v>
      </c>
      <c r="O11" s="1">
        <v>16</v>
      </c>
      <c r="P11" s="2">
        <v>17</v>
      </c>
      <c r="Q11" s="2">
        <v>15</v>
      </c>
      <c r="R11" s="2">
        <v>16</v>
      </c>
      <c r="S11" s="2">
        <v>18</v>
      </c>
      <c r="T11" s="2">
        <v>23</v>
      </c>
      <c r="U11" s="1">
        <v>18</v>
      </c>
      <c r="V11" s="1">
        <v>21</v>
      </c>
    </row>
    <row r="12" spans="1:22">
      <c r="A12" s="1">
        <v>250125</v>
      </c>
      <c r="B12" s="1" t="s">
        <v>65</v>
      </c>
      <c r="C12" s="1" t="s">
        <v>66</v>
      </c>
      <c r="D12" s="3">
        <v>37192</v>
      </c>
      <c r="E12" s="1">
        <v>65</v>
      </c>
      <c r="F12" s="1">
        <v>50</v>
      </c>
      <c r="G12" s="1">
        <v>80</v>
      </c>
      <c r="H12" s="1">
        <v>76</v>
      </c>
      <c r="I12" s="1">
        <v>116</v>
      </c>
      <c r="J12" s="1">
        <v>70</v>
      </c>
      <c r="K12" s="1">
        <v>56</v>
      </c>
      <c r="L12" s="1">
        <v>56</v>
      </c>
      <c r="M12" s="1">
        <v>92</v>
      </c>
      <c r="N12" s="1">
        <v>60</v>
      </c>
      <c r="O12" s="1">
        <v>23</v>
      </c>
      <c r="P12" s="2">
        <v>24</v>
      </c>
      <c r="Q12" s="2">
        <v>20</v>
      </c>
      <c r="R12" s="2">
        <v>21</v>
      </c>
      <c r="S12" s="2">
        <v>18</v>
      </c>
      <c r="T12" s="2">
        <v>23</v>
      </c>
      <c r="U12" s="1">
        <v>21</v>
      </c>
      <c r="V12" s="1">
        <v>23</v>
      </c>
    </row>
    <row r="13" spans="1:22">
      <c r="A13" s="1">
        <v>250126</v>
      </c>
      <c r="B13" s="1" t="s">
        <v>67</v>
      </c>
      <c r="C13" s="1" t="s">
        <v>68</v>
      </c>
      <c r="D13" s="3">
        <v>37426</v>
      </c>
      <c r="E13" s="1">
        <v>86</v>
      </c>
      <c r="F13" s="1">
        <v>48</v>
      </c>
      <c r="G13" s="1">
        <v>100</v>
      </c>
      <c r="H13" s="1">
        <v>79</v>
      </c>
      <c r="I13" s="1">
        <v>102</v>
      </c>
      <c r="J13" s="1">
        <v>77</v>
      </c>
      <c r="K13" s="1">
        <v>62</v>
      </c>
      <c r="L13" s="1">
        <v>57</v>
      </c>
      <c r="M13" s="1">
        <v>94</v>
      </c>
      <c r="N13" s="1">
        <v>74</v>
      </c>
      <c r="O13" s="1">
        <v>24</v>
      </c>
      <c r="P13" s="2">
        <v>24</v>
      </c>
      <c r="Q13" s="2">
        <v>20</v>
      </c>
      <c r="R13" s="2">
        <v>19</v>
      </c>
      <c r="S13" s="2">
        <v>18</v>
      </c>
      <c r="T13" s="2">
        <v>23</v>
      </c>
      <c r="U13" s="1">
        <v>21</v>
      </c>
      <c r="V13" s="1">
        <v>23</v>
      </c>
    </row>
    <row r="14" spans="1:22">
      <c r="A14" s="1">
        <v>250127</v>
      </c>
      <c r="B14" s="1" t="s">
        <v>69</v>
      </c>
      <c r="C14" s="1" t="s">
        <v>70</v>
      </c>
      <c r="D14" s="3">
        <v>36774</v>
      </c>
      <c r="E14" s="1">
        <v>62</v>
      </c>
      <c r="F14" s="1">
        <v>46</v>
      </c>
      <c r="G14" s="1">
        <v>92</v>
      </c>
      <c r="H14" s="1">
        <v>72</v>
      </c>
      <c r="I14" s="1">
        <v>100</v>
      </c>
      <c r="J14" s="1">
        <v>74</v>
      </c>
      <c r="K14" s="1">
        <v>66</v>
      </c>
      <c r="L14" s="1">
        <v>56</v>
      </c>
      <c r="M14" s="1">
        <v>78</v>
      </c>
      <c r="N14" s="1">
        <v>61</v>
      </c>
      <c r="O14" s="1">
        <v>19</v>
      </c>
      <c r="P14" s="2">
        <v>20</v>
      </c>
      <c r="Q14" s="2">
        <v>13</v>
      </c>
      <c r="R14" s="2">
        <v>16</v>
      </c>
      <c r="S14" s="2">
        <v>18</v>
      </c>
      <c r="T14" s="2">
        <v>23</v>
      </c>
      <c r="U14" s="1">
        <v>19</v>
      </c>
      <c r="V14" s="1">
        <v>20</v>
      </c>
    </row>
    <row r="15" spans="1:22">
      <c r="A15" s="1">
        <v>250128</v>
      </c>
      <c r="B15" s="1" t="s">
        <v>71</v>
      </c>
      <c r="C15" s="1" t="s">
        <v>72</v>
      </c>
      <c r="D15" s="3">
        <v>37256</v>
      </c>
      <c r="E15" s="1">
        <v>66</v>
      </c>
      <c r="F15" s="1">
        <v>47</v>
      </c>
      <c r="G15" s="1">
        <v>86</v>
      </c>
      <c r="H15" s="1">
        <v>76</v>
      </c>
      <c r="I15" s="1">
        <v>86</v>
      </c>
      <c r="J15" s="1">
        <v>74</v>
      </c>
      <c r="K15" s="1">
        <v>39</v>
      </c>
      <c r="L15" s="1">
        <v>50</v>
      </c>
      <c r="M15" s="1">
        <v>76</v>
      </c>
      <c r="N15" s="1">
        <v>62</v>
      </c>
      <c r="O15" s="1">
        <v>20</v>
      </c>
      <c r="P15" s="2">
        <v>20</v>
      </c>
      <c r="Q15" s="2">
        <v>17</v>
      </c>
      <c r="R15" s="2">
        <v>17</v>
      </c>
      <c r="S15" s="2">
        <v>18</v>
      </c>
      <c r="T15" s="2">
        <v>23</v>
      </c>
      <c r="U15" s="1">
        <v>19</v>
      </c>
      <c r="V15" s="1">
        <v>15</v>
      </c>
    </row>
    <row r="16" spans="1:22">
      <c r="A16" s="1">
        <v>250129</v>
      </c>
      <c r="B16" s="1" t="s">
        <v>73</v>
      </c>
      <c r="C16" s="1" t="s">
        <v>74</v>
      </c>
      <c r="D16" s="3">
        <v>37490</v>
      </c>
      <c r="E16" s="1">
        <v>71</v>
      </c>
      <c r="F16" s="1">
        <v>46</v>
      </c>
      <c r="G16" s="1">
        <v>86</v>
      </c>
      <c r="H16" s="1">
        <v>73</v>
      </c>
      <c r="I16" s="1">
        <v>90</v>
      </c>
      <c r="J16" s="1">
        <v>71</v>
      </c>
      <c r="K16" s="1">
        <v>45</v>
      </c>
      <c r="L16" s="1">
        <v>50</v>
      </c>
      <c r="M16" s="1">
        <v>78</v>
      </c>
      <c r="N16" s="1">
        <v>62</v>
      </c>
      <c r="O16" s="1">
        <v>19</v>
      </c>
      <c r="P16" s="2">
        <v>20</v>
      </c>
      <c r="Q16" s="2">
        <v>17</v>
      </c>
      <c r="R16" s="2">
        <v>18</v>
      </c>
      <c r="S16" s="2">
        <v>18</v>
      </c>
      <c r="T16" s="2">
        <v>23</v>
      </c>
      <c r="U16" s="1">
        <v>17</v>
      </c>
      <c r="V16" s="1">
        <v>19</v>
      </c>
    </row>
    <row r="17" spans="1:22">
      <c r="A17" s="1">
        <v>250130</v>
      </c>
      <c r="B17" s="1" t="s">
        <v>75</v>
      </c>
      <c r="C17" s="1" t="s">
        <v>76</v>
      </c>
      <c r="D17" s="3">
        <v>36602</v>
      </c>
      <c r="E17" s="1">
        <v>71</v>
      </c>
      <c r="F17" s="1">
        <v>48</v>
      </c>
      <c r="G17" s="1">
        <v>76</v>
      </c>
      <c r="H17" s="1">
        <v>72</v>
      </c>
      <c r="I17" s="1">
        <v>84</v>
      </c>
      <c r="J17" s="1">
        <v>69</v>
      </c>
      <c r="K17" s="1">
        <v>56</v>
      </c>
      <c r="L17" s="1">
        <v>50</v>
      </c>
      <c r="M17" s="1">
        <v>78</v>
      </c>
      <c r="N17" s="1">
        <v>41</v>
      </c>
      <c r="O17" s="1">
        <v>17</v>
      </c>
      <c r="P17" s="2">
        <v>19</v>
      </c>
      <c r="Q17" s="2">
        <v>16</v>
      </c>
      <c r="R17" s="2">
        <v>18</v>
      </c>
      <c r="S17" s="2">
        <v>18</v>
      </c>
      <c r="T17" s="2">
        <v>23</v>
      </c>
      <c r="U17" s="1">
        <v>17</v>
      </c>
      <c r="V17" s="1">
        <v>20</v>
      </c>
    </row>
    <row r="18" spans="1:22">
      <c r="A18" s="1">
        <v>250131</v>
      </c>
      <c r="B18" s="1" t="s">
        <v>77</v>
      </c>
      <c r="C18" s="1" t="s">
        <v>78</v>
      </c>
      <c r="D18" s="3">
        <v>37017</v>
      </c>
      <c r="E18" s="1">
        <v>87</v>
      </c>
      <c r="F18" s="1">
        <v>55</v>
      </c>
      <c r="G18" s="1">
        <v>50</v>
      </c>
      <c r="H18" s="1">
        <v>60</v>
      </c>
      <c r="I18" s="1">
        <v>80</v>
      </c>
      <c r="J18" s="1">
        <v>55</v>
      </c>
      <c r="K18" s="1">
        <v>41</v>
      </c>
      <c r="L18" s="1">
        <v>44</v>
      </c>
      <c r="M18" s="1">
        <v>48</v>
      </c>
      <c r="N18" s="1">
        <v>42</v>
      </c>
      <c r="O18" s="1">
        <v>16</v>
      </c>
      <c r="P18" s="2">
        <v>18</v>
      </c>
      <c r="Q18" s="2">
        <v>19</v>
      </c>
      <c r="R18" s="2">
        <v>18</v>
      </c>
      <c r="S18" s="2">
        <v>18</v>
      </c>
      <c r="T18" s="2">
        <v>23</v>
      </c>
      <c r="U18" s="1">
        <v>17</v>
      </c>
      <c r="V18" s="1">
        <v>19</v>
      </c>
    </row>
    <row r="19" spans="1:22">
      <c r="A19" s="1">
        <v>250132</v>
      </c>
      <c r="B19" s="1" t="s">
        <v>79</v>
      </c>
      <c r="C19" s="1" t="s">
        <v>80</v>
      </c>
      <c r="D19" s="3">
        <v>37268</v>
      </c>
      <c r="E19" s="1">
        <v>65</v>
      </c>
      <c r="F19" s="1">
        <v>51</v>
      </c>
      <c r="G19" s="1">
        <v>82</v>
      </c>
      <c r="H19" s="1">
        <v>80</v>
      </c>
      <c r="I19" s="1">
        <v>88</v>
      </c>
      <c r="J19" s="1">
        <v>70</v>
      </c>
      <c r="K19" s="1">
        <v>53</v>
      </c>
      <c r="L19" s="1">
        <v>54</v>
      </c>
      <c r="M19" s="1">
        <v>80</v>
      </c>
      <c r="N19" s="1">
        <v>64</v>
      </c>
      <c r="O19" s="1">
        <v>18</v>
      </c>
      <c r="P19" s="2">
        <v>20</v>
      </c>
      <c r="Q19" s="2">
        <v>18</v>
      </c>
      <c r="R19" s="2">
        <v>16</v>
      </c>
      <c r="S19" s="2">
        <v>18</v>
      </c>
      <c r="T19" s="2">
        <v>23</v>
      </c>
      <c r="U19" s="1">
        <v>21</v>
      </c>
      <c r="V19" s="1">
        <v>16</v>
      </c>
    </row>
    <row r="20" spans="1:22">
      <c r="A20" s="1">
        <v>250133</v>
      </c>
      <c r="B20" s="1" t="s">
        <v>81</v>
      </c>
      <c r="C20" s="1" t="s">
        <v>82</v>
      </c>
      <c r="D20" s="3">
        <v>36736</v>
      </c>
      <c r="E20" s="1">
        <v>36</v>
      </c>
      <c r="F20" s="1">
        <v>36</v>
      </c>
      <c r="G20" s="1">
        <v>56</v>
      </c>
      <c r="H20" s="1">
        <v>65</v>
      </c>
      <c r="I20" s="1">
        <v>58</v>
      </c>
      <c r="J20" s="1">
        <v>59</v>
      </c>
      <c r="K20" s="1">
        <v>18</v>
      </c>
      <c r="L20" s="1">
        <v>40</v>
      </c>
      <c r="M20" s="1">
        <v>48</v>
      </c>
      <c r="N20" s="1">
        <v>65</v>
      </c>
      <c r="O20" s="1">
        <v>18</v>
      </c>
      <c r="P20" s="2">
        <v>20</v>
      </c>
      <c r="Q20" s="2">
        <v>16</v>
      </c>
      <c r="R20" s="2">
        <v>18</v>
      </c>
      <c r="S20" s="2">
        <v>18</v>
      </c>
      <c r="T20" s="2">
        <v>23</v>
      </c>
      <c r="U20" s="1">
        <v>0</v>
      </c>
      <c r="V20" s="1">
        <v>14</v>
      </c>
    </row>
    <row r="21" spans="1:22">
      <c r="A21" s="1">
        <v>250134</v>
      </c>
      <c r="B21" s="1" t="s">
        <v>83</v>
      </c>
      <c r="C21" s="1" t="s">
        <v>84</v>
      </c>
      <c r="D21" s="3">
        <v>36925</v>
      </c>
      <c r="E21" s="1">
        <v>53</v>
      </c>
      <c r="F21" s="1">
        <v>46</v>
      </c>
      <c r="G21" s="1">
        <v>72</v>
      </c>
      <c r="H21" s="1">
        <v>71</v>
      </c>
      <c r="I21" s="1">
        <v>86</v>
      </c>
      <c r="J21" s="1">
        <v>72</v>
      </c>
      <c r="K21" s="1">
        <v>45</v>
      </c>
      <c r="L21" s="1">
        <v>50</v>
      </c>
      <c r="M21" s="1">
        <v>76</v>
      </c>
      <c r="N21" s="1">
        <v>68</v>
      </c>
      <c r="O21" s="1">
        <v>20</v>
      </c>
      <c r="P21" s="2">
        <v>21</v>
      </c>
      <c r="Q21" s="2">
        <v>16</v>
      </c>
      <c r="R21" s="2">
        <v>18</v>
      </c>
      <c r="S21" s="2">
        <v>18</v>
      </c>
      <c r="T21" s="2">
        <v>23</v>
      </c>
      <c r="U21" s="1">
        <v>18</v>
      </c>
      <c r="V21" s="1">
        <v>19</v>
      </c>
    </row>
    <row r="22" spans="1:22">
      <c r="A22" s="1">
        <v>250135</v>
      </c>
      <c r="B22" s="1" t="s">
        <v>85</v>
      </c>
      <c r="C22" s="1" t="s">
        <v>86</v>
      </c>
      <c r="D22" s="3">
        <v>37544</v>
      </c>
      <c r="E22" s="1">
        <v>48</v>
      </c>
      <c r="F22" s="1">
        <v>42</v>
      </c>
      <c r="G22" s="1">
        <v>60</v>
      </c>
      <c r="H22" s="1">
        <v>68</v>
      </c>
      <c r="I22" s="1">
        <v>88</v>
      </c>
      <c r="J22" s="1">
        <v>60</v>
      </c>
      <c r="K22" s="1">
        <v>42</v>
      </c>
      <c r="L22" s="1">
        <v>52</v>
      </c>
      <c r="M22" s="1">
        <v>66</v>
      </c>
      <c r="N22" s="1">
        <v>44</v>
      </c>
      <c r="O22" s="1">
        <v>19</v>
      </c>
      <c r="P22" s="2">
        <v>20</v>
      </c>
      <c r="Q22" s="2">
        <v>21</v>
      </c>
      <c r="R22" s="2">
        <v>20</v>
      </c>
      <c r="S22" s="2">
        <v>18</v>
      </c>
      <c r="T22" s="2">
        <v>23</v>
      </c>
      <c r="U22" s="1">
        <v>17</v>
      </c>
      <c r="V22" s="1">
        <v>14</v>
      </c>
    </row>
    <row r="23" spans="1:22">
      <c r="A23" s="1">
        <v>250136</v>
      </c>
      <c r="B23" s="1" t="s">
        <v>87</v>
      </c>
      <c r="C23" s="1" t="s">
        <v>88</v>
      </c>
      <c r="D23" s="3">
        <v>36627</v>
      </c>
      <c r="E23" s="1">
        <v>69</v>
      </c>
      <c r="F23" s="1">
        <v>50</v>
      </c>
      <c r="G23" s="1">
        <v>78</v>
      </c>
      <c r="H23" s="1">
        <v>75</v>
      </c>
      <c r="I23" s="1">
        <v>88</v>
      </c>
      <c r="J23" s="1">
        <v>69</v>
      </c>
      <c r="K23" s="1">
        <v>53</v>
      </c>
      <c r="L23" s="1">
        <v>48</v>
      </c>
      <c r="M23" s="1">
        <v>76</v>
      </c>
      <c r="N23" s="1">
        <v>43</v>
      </c>
      <c r="O23" s="1">
        <v>19</v>
      </c>
      <c r="P23" s="2">
        <v>20</v>
      </c>
      <c r="Q23" s="2">
        <v>13</v>
      </c>
      <c r="R23" s="2">
        <v>15</v>
      </c>
      <c r="S23" s="2">
        <v>18</v>
      </c>
      <c r="T23" s="2">
        <v>23</v>
      </c>
      <c r="U23" s="1">
        <v>19</v>
      </c>
      <c r="V23" s="1">
        <v>20</v>
      </c>
    </row>
    <row r="24" spans="1:22">
      <c r="A24" s="1">
        <v>250137</v>
      </c>
      <c r="B24" s="1" t="s">
        <v>89</v>
      </c>
      <c r="C24" s="1" t="s">
        <v>90</v>
      </c>
      <c r="D24" s="3">
        <v>37129</v>
      </c>
      <c r="E24" s="1">
        <v>69</v>
      </c>
      <c r="F24" s="1">
        <v>48</v>
      </c>
      <c r="G24" s="1">
        <v>86</v>
      </c>
      <c r="H24" s="1">
        <v>80</v>
      </c>
      <c r="I24" s="1">
        <v>94</v>
      </c>
      <c r="J24" s="1">
        <v>71</v>
      </c>
      <c r="K24" s="1">
        <v>56</v>
      </c>
      <c r="L24" s="1">
        <v>57</v>
      </c>
      <c r="M24" s="1">
        <v>86</v>
      </c>
      <c r="N24" s="1">
        <v>66</v>
      </c>
      <c r="O24" s="1">
        <v>19</v>
      </c>
      <c r="P24" s="2">
        <v>20</v>
      </c>
      <c r="Q24" s="2">
        <v>14</v>
      </c>
      <c r="R24" s="2">
        <v>16</v>
      </c>
      <c r="S24" s="2">
        <v>18</v>
      </c>
      <c r="T24" s="2">
        <v>23</v>
      </c>
      <c r="U24" s="1">
        <v>17</v>
      </c>
      <c r="V24" s="1">
        <v>19</v>
      </c>
    </row>
    <row r="25" spans="1:22">
      <c r="A25" s="1">
        <v>250138</v>
      </c>
      <c r="B25" s="1" t="s">
        <v>91</v>
      </c>
      <c r="C25" s="1" t="s">
        <v>92</v>
      </c>
      <c r="D25" s="3">
        <v>37384</v>
      </c>
      <c r="E25" s="1">
        <v>56</v>
      </c>
      <c r="F25" s="1">
        <v>46</v>
      </c>
      <c r="G25" s="1">
        <v>84</v>
      </c>
      <c r="H25" s="1">
        <v>69</v>
      </c>
      <c r="I25" s="1">
        <v>82</v>
      </c>
      <c r="J25" s="1">
        <v>67</v>
      </c>
      <c r="K25" s="1">
        <v>47</v>
      </c>
      <c r="L25" s="1">
        <v>48</v>
      </c>
      <c r="M25" s="1">
        <v>82</v>
      </c>
      <c r="N25" s="1">
        <v>59</v>
      </c>
      <c r="O25" s="1">
        <v>21</v>
      </c>
      <c r="P25" s="2">
        <v>22</v>
      </c>
      <c r="Q25" s="2">
        <v>19</v>
      </c>
      <c r="R25" s="2">
        <v>20</v>
      </c>
      <c r="S25" s="2">
        <v>18</v>
      </c>
      <c r="T25" s="2">
        <v>23</v>
      </c>
      <c r="U25" s="1">
        <v>17</v>
      </c>
      <c r="V25" s="1">
        <v>19</v>
      </c>
    </row>
    <row r="26" spans="1:22">
      <c r="A26" s="1">
        <v>250139</v>
      </c>
      <c r="B26" s="1" t="s">
        <v>93</v>
      </c>
      <c r="C26" s="1" t="s">
        <v>94</v>
      </c>
      <c r="D26" s="3">
        <v>36851</v>
      </c>
      <c r="E26" s="1">
        <v>71</v>
      </c>
      <c r="F26" s="1">
        <v>50</v>
      </c>
      <c r="G26" s="1">
        <v>76</v>
      </c>
      <c r="H26" s="1">
        <v>76</v>
      </c>
      <c r="I26" s="1">
        <v>86</v>
      </c>
      <c r="J26" s="1">
        <v>68</v>
      </c>
      <c r="K26" s="1">
        <v>44</v>
      </c>
      <c r="L26" s="1">
        <v>49</v>
      </c>
      <c r="M26" s="1">
        <v>72</v>
      </c>
      <c r="N26" s="1">
        <v>61</v>
      </c>
      <c r="O26" s="1">
        <v>16</v>
      </c>
      <c r="P26" s="2">
        <v>18</v>
      </c>
      <c r="Q26" s="2">
        <v>16</v>
      </c>
      <c r="R26" s="2">
        <v>18</v>
      </c>
      <c r="S26" s="2">
        <v>18</v>
      </c>
      <c r="T26" s="2">
        <v>23</v>
      </c>
      <c r="U26" s="1">
        <v>18</v>
      </c>
      <c r="V26" s="1">
        <v>20</v>
      </c>
    </row>
    <row r="27" spans="1:22">
      <c r="A27" s="1">
        <v>250140</v>
      </c>
      <c r="B27" s="1" t="s">
        <v>95</v>
      </c>
      <c r="C27" s="1" t="s">
        <v>96</v>
      </c>
      <c r="D27" s="3">
        <v>37055</v>
      </c>
      <c r="E27" s="1">
        <v>72</v>
      </c>
      <c r="F27" s="1">
        <v>51</v>
      </c>
      <c r="G27" s="1">
        <v>90</v>
      </c>
      <c r="H27" s="1">
        <v>80</v>
      </c>
      <c r="I27" s="1">
        <v>100</v>
      </c>
      <c r="J27" s="1">
        <v>77</v>
      </c>
      <c r="K27" s="1">
        <v>60</v>
      </c>
      <c r="L27" s="1">
        <v>58</v>
      </c>
      <c r="M27" s="1">
        <v>82</v>
      </c>
      <c r="N27" s="1">
        <v>52</v>
      </c>
      <c r="O27" s="1">
        <v>24</v>
      </c>
      <c r="P27" s="2">
        <v>24</v>
      </c>
      <c r="Q27" s="2">
        <v>22</v>
      </c>
      <c r="R27" s="2">
        <v>21</v>
      </c>
      <c r="S27" s="2">
        <v>18</v>
      </c>
      <c r="T27" s="2">
        <v>23</v>
      </c>
      <c r="U27" s="1">
        <v>22</v>
      </c>
      <c r="V27" s="1">
        <v>24</v>
      </c>
    </row>
    <row r="28" spans="1:22">
      <c r="A28" s="1">
        <v>250141</v>
      </c>
      <c r="B28" s="1" t="s">
        <v>97</v>
      </c>
      <c r="C28" s="1" t="s">
        <v>98</v>
      </c>
      <c r="D28" s="3">
        <v>37316</v>
      </c>
      <c r="E28" s="1">
        <v>65</v>
      </c>
      <c r="F28" s="1">
        <v>51</v>
      </c>
      <c r="G28" s="1">
        <v>78</v>
      </c>
      <c r="H28" s="1">
        <v>68</v>
      </c>
      <c r="I28" s="1">
        <v>86</v>
      </c>
      <c r="J28" s="1">
        <v>68</v>
      </c>
      <c r="K28" s="1">
        <v>35</v>
      </c>
      <c r="L28" s="1">
        <v>46</v>
      </c>
      <c r="M28" s="1">
        <v>74</v>
      </c>
      <c r="N28" s="1">
        <v>48</v>
      </c>
      <c r="O28" s="1">
        <v>21</v>
      </c>
      <c r="P28" s="2">
        <v>22</v>
      </c>
      <c r="Q28" s="2">
        <v>19</v>
      </c>
      <c r="R28" s="2">
        <v>20</v>
      </c>
      <c r="S28" s="2">
        <v>18</v>
      </c>
      <c r="T28" s="2">
        <v>23</v>
      </c>
      <c r="U28" s="1">
        <v>17</v>
      </c>
      <c r="V28" s="1">
        <v>18</v>
      </c>
    </row>
    <row r="29" spans="1:22">
      <c r="A29" s="1">
        <v>250142</v>
      </c>
      <c r="B29" s="1" t="s">
        <v>99</v>
      </c>
      <c r="C29" s="1" t="s">
        <v>100</v>
      </c>
      <c r="D29" s="3">
        <v>36584</v>
      </c>
      <c r="E29" s="1">
        <v>68</v>
      </c>
      <c r="F29" s="1">
        <v>47</v>
      </c>
      <c r="G29" s="1">
        <v>84</v>
      </c>
      <c r="H29" s="1">
        <v>68</v>
      </c>
      <c r="I29" s="1">
        <v>98</v>
      </c>
      <c r="J29" s="1">
        <v>73</v>
      </c>
      <c r="K29" s="1">
        <v>59</v>
      </c>
      <c r="L29" s="1">
        <v>53</v>
      </c>
      <c r="M29" s="1">
        <v>92</v>
      </c>
      <c r="N29" s="1">
        <v>56</v>
      </c>
      <c r="O29" s="1">
        <v>23</v>
      </c>
      <c r="P29" s="2">
        <v>24</v>
      </c>
      <c r="Q29" s="2">
        <v>19</v>
      </c>
      <c r="R29" s="2">
        <v>20</v>
      </c>
      <c r="S29" s="2">
        <v>18</v>
      </c>
      <c r="T29" s="2">
        <v>23</v>
      </c>
      <c r="U29" s="1">
        <v>20</v>
      </c>
      <c r="V29" s="1">
        <v>22</v>
      </c>
    </row>
    <row r="30" spans="1:22">
      <c r="A30" s="1">
        <v>250143</v>
      </c>
      <c r="B30" s="1" t="s">
        <v>101</v>
      </c>
      <c r="C30" s="1" t="s">
        <v>102</v>
      </c>
      <c r="D30" s="3">
        <v>37000</v>
      </c>
      <c r="E30" s="1">
        <v>53</v>
      </c>
      <c r="F30" s="1">
        <v>48</v>
      </c>
      <c r="G30" s="1">
        <v>66</v>
      </c>
      <c r="H30" s="1">
        <v>63</v>
      </c>
      <c r="I30" s="1">
        <v>82</v>
      </c>
      <c r="J30" s="1">
        <v>72</v>
      </c>
      <c r="K30" s="1">
        <v>44</v>
      </c>
      <c r="L30" s="1">
        <v>48</v>
      </c>
      <c r="M30" s="1">
        <v>66</v>
      </c>
      <c r="N30" s="1">
        <v>53</v>
      </c>
      <c r="O30" s="1">
        <v>16</v>
      </c>
      <c r="P30" s="2">
        <v>20</v>
      </c>
      <c r="Q30" s="2">
        <v>14</v>
      </c>
      <c r="R30" s="2">
        <v>19</v>
      </c>
      <c r="S30" s="2">
        <v>18</v>
      </c>
      <c r="T30" s="2">
        <v>23</v>
      </c>
      <c r="U30" s="1">
        <v>0</v>
      </c>
      <c r="V30" s="1">
        <v>14</v>
      </c>
    </row>
    <row r="31" spans="1:22">
      <c r="A31" s="1">
        <v>250144</v>
      </c>
      <c r="B31" s="1" t="s">
        <v>103</v>
      </c>
      <c r="C31" s="1" t="s">
        <v>104</v>
      </c>
      <c r="D31" s="3">
        <v>37523</v>
      </c>
      <c r="E31" s="1">
        <v>74</v>
      </c>
      <c r="F31" s="1">
        <v>47</v>
      </c>
      <c r="G31" s="1">
        <v>82</v>
      </c>
      <c r="H31" s="1">
        <v>68</v>
      </c>
      <c r="I31" s="1">
        <v>98</v>
      </c>
      <c r="J31" s="1">
        <v>71</v>
      </c>
      <c r="K31" s="1">
        <v>54</v>
      </c>
      <c r="L31" s="1">
        <v>50</v>
      </c>
      <c r="M31" s="1">
        <v>90</v>
      </c>
      <c r="N31" s="1">
        <v>65</v>
      </c>
      <c r="O31" s="1">
        <v>23</v>
      </c>
      <c r="P31" s="2">
        <v>24</v>
      </c>
      <c r="Q31" s="2">
        <v>18</v>
      </c>
      <c r="R31" s="2">
        <v>19</v>
      </c>
      <c r="S31" s="2">
        <v>18</v>
      </c>
      <c r="T31" s="2">
        <v>23</v>
      </c>
      <c r="U31" s="1">
        <v>20</v>
      </c>
      <c r="V31" s="1">
        <v>22</v>
      </c>
    </row>
    <row r="32" spans="1:22">
      <c r="A32" s="1">
        <v>250145</v>
      </c>
      <c r="B32" s="1" t="s">
        <v>105</v>
      </c>
      <c r="C32" s="1" t="s">
        <v>106</v>
      </c>
      <c r="D32" s="3">
        <v>36684</v>
      </c>
      <c r="E32" s="1">
        <v>71</v>
      </c>
      <c r="F32" s="1">
        <v>48</v>
      </c>
      <c r="G32" s="1">
        <v>80</v>
      </c>
      <c r="H32" s="1">
        <v>80</v>
      </c>
      <c r="I32" s="1">
        <v>92</v>
      </c>
      <c r="J32" s="1">
        <v>72</v>
      </c>
      <c r="K32" s="1">
        <v>54</v>
      </c>
      <c r="L32" s="1">
        <v>55</v>
      </c>
      <c r="M32" s="1">
        <v>0</v>
      </c>
      <c r="N32" s="1">
        <v>60</v>
      </c>
      <c r="O32" s="1">
        <v>20</v>
      </c>
      <c r="P32" s="2">
        <v>21</v>
      </c>
      <c r="Q32" s="2">
        <v>19</v>
      </c>
      <c r="R32" s="2">
        <v>20</v>
      </c>
      <c r="S32" s="2">
        <v>18</v>
      </c>
      <c r="T32" s="2">
        <v>23</v>
      </c>
      <c r="U32" s="1">
        <v>17</v>
      </c>
      <c r="V32" s="1">
        <v>19</v>
      </c>
    </row>
    <row r="33" spans="1:22">
      <c r="A33" s="1">
        <v>250146</v>
      </c>
      <c r="B33" s="1" t="s">
        <v>107</v>
      </c>
      <c r="C33" s="1" t="s">
        <v>108</v>
      </c>
      <c r="D33" s="3">
        <v>36907</v>
      </c>
      <c r="E33" s="1">
        <v>56</v>
      </c>
      <c r="F33" s="1">
        <v>48</v>
      </c>
      <c r="G33" s="1">
        <v>80</v>
      </c>
      <c r="H33" s="1">
        <v>67</v>
      </c>
      <c r="I33" s="1">
        <v>86</v>
      </c>
      <c r="J33" s="1">
        <v>63</v>
      </c>
      <c r="K33" s="1">
        <v>53</v>
      </c>
      <c r="L33" s="1">
        <v>45</v>
      </c>
      <c r="M33" s="1">
        <v>60</v>
      </c>
      <c r="N33" s="1">
        <v>43</v>
      </c>
      <c r="O33" s="1">
        <v>19</v>
      </c>
      <c r="P33" s="2">
        <v>20</v>
      </c>
      <c r="Q33" s="2">
        <v>16</v>
      </c>
      <c r="R33" s="2">
        <v>18</v>
      </c>
      <c r="S33" s="2">
        <v>18</v>
      </c>
      <c r="T33" s="2">
        <v>23</v>
      </c>
      <c r="U33" s="1">
        <v>17</v>
      </c>
      <c r="V33" s="1">
        <v>19</v>
      </c>
    </row>
    <row r="34" spans="1:22">
      <c r="A34" s="1">
        <v>250147</v>
      </c>
      <c r="B34" s="1" t="s">
        <v>109</v>
      </c>
      <c r="C34" s="1" t="s">
        <v>110</v>
      </c>
      <c r="D34" s="3">
        <v>37595</v>
      </c>
      <c r="E34" s="1">
        <v>48</v>
      </c>
      <c r="F34" s="1">
        <v>46</v>
      </c>
      <c r="G34" s="1">
        <v>70</v>
      </c>
      <c r="H34" s="1">
        <v>72</v>
      </c>
      <c r="I34" s="1">
        <v>92</v>
      </c>
      <c r="J34" s="1">
        <v>64</v>
      </c>
      <c r="K34" s="1">
        <v>42</v>
      </c>
      <c r="L34" s="1">
        <v>49</v>
      </c>
      <c r="M34" s="1">
        <v>64</v>
      </c>
      <c r="N34" s="1">
        <v>43</v>
      </c>
      <c r="O34" s="1">
        <v>19</v>
      </c>
      <c r="P34" s="2">
        <v>20</v>
      </c>
      <c r="Q34" s="2">
        <v>14</v>
      </c>
      <c r="R34" s="2">
        <v>17</v>
      </c>
      <c r="S34" s="2">
        <v>18</v>
      </c>
      <c r="T34" s="2">
        <v>23</v>
      </c>
      <c r="U34" s="1">
        <v>17</v>
      </c>
      <c r="V34" s="1">
        <v>20</v>
      </c>
    </row>
    <row r="35" spans="1:22">
      <c r="A35" s="1">
        <v>250148</v>
      </c>
      <c r="B35" s="1" t="s">
        <v>111</v>
      </c>
      <c r="C35" s="1" t="s">
        <v>112</v>
      </c>
      <c r="D35" s="3">
        <v>36809</v>
      </c>
      <c r="E35" s="1">
        <v>71</v>
      </c>
      <c r="F35" s="1">
        <v>52</v>
      </c>
      <c r="G35" s="1">
        <v>74</v>
      </c>
      <c r="H35" s="1">
        <v>80</v>
      </c>
      <c r="I35" s="1">
        <v>92</v>
      </c>
      <c r="J35" s="1">
        <v>68</v>
      </c>
      <c r="K35" s="1">
        <v>56</v>
      </c>
      <c r="L35" s="1">
        <v>54</v>
      </c>
      <c r="M35" s="1">
        <v>84</v>
      </c>
      <c r="N35" s="1">
        <v>66</v>
      </c>
      <c r="O35" s="1">
        <v>20</v>
      </c>
      <c r="P35" s="2">
        <v>21</v>
      </c>
      <c r="Q35" s="2">
        <v>21</v>
      </c>
      <c r="R35" s="2">
        <v>20</v>
      </c>
      <c r="S35" s="2">
        <v>18</v>
      </c>
      <c r="T35" s="2">
        <v>23</v>
      </c>
      <c r="U35" s="1">
        <v>17</v>
      </c>
      <c r="V35" s="1">
        <v>20</v>
      </c>
    </row>
    <row r="36" spans="1:22">
      <c r="A36" s="1">
        <v>250149</v>
      </c>
      <c r="B36" s="1" t="s">
        <v>113</v>
      </c>
      <c r="C36" s="1" t="s">
        <v>114</v>
      </c>
      <c r="D36" s="3">
        <v>37222</v>
      </c>
      <c r="E36" s="1">
        <v>71</v>
      </c>
      <c r="F36" s="1">
        <v>46</v>
      </c>
      <c r="G36" s="1">
        <v>80</v>
      </c>
      <c r="H36" s="1">
        <v>79</v>
      </c>
      <c r="I36" s="1">
        <v>90</v>
      </c>
      <c r="J36" s="1">
        <v>71</v>
      </c>
      <c r="K36" s="1">
        <v>45</v>
      </c>
      <c r="L36" s="1">
        <v>52</v>
      </c>
      <c r="M36" s="1">
        <v>88</v>
      </c>
      <c r="N36" s="1">
        <v>70</v>
      </c>
      <c r="O36" s="1">
        <v>20</v>
      </c>
      <c r="P36" s="2">
        <v>21</v>
      </c>
      <c r="Q36" s="2">
        <v>20</v>
      </c>
      <c r="R36" s="2">
        <v>21</v>
      </c>
      <c r="S36" s="2">
        <v>18</v>
      </c>
      <c r="T36" s="2">
        <v>23</v>
      </c>
      <c r="U36" s="1">
        <v>20</v>
      </c>
      <c r="V36" s="1">
        <v>23</v>
      </c>
    </row>
    <row r="37" spans="1:22">
      <c r="A37" s="1">
        <v>250150</v>
      </c>
      <c r="B37" s="1" t="s">
        <v>115</v>
      </c>
      <c r="C37" s="1" t="s">
        <v>116</v>
      </c>
      <c r="D37" s="3">
        <v>37441</v>
      </c>
      <c r="E37" s="1">
        <v>81</v>
      </c>
      <c r="F37" s="1">
        <v>48</v>
      </c>
      <c r="G37" s="1">
        <v>90</v>
      </c>
      <c r="H37" s="1">
        <v>75</v>
      </c>
      <c r="I37" s="1">
        <v>94</v>
      </c>
      <c r="J37" s="1">
        <v>66</v>
      </c>
      <c r="K37" s="1">
        <v>57</v>
      </c>
      <c r="L37" s="1">
        <v>54</v>
      </c>
      <c r="M37" s="1">
        <v>78</v>
      </c>
      <c r="N37" s="1">
        <v>74</v>
      </c>
      <c r="O37" s="1">
        <v>22</v>
      </c>
      <c r="P37" s="2">
        <v>23</v>
      </c>
      <c r="Q37" s="2">
        <v>18</v>
      </c>
      <c r="R37" s="2">
        <v>19</v>
      </c>
      <c r="S37" s="2">
        <v>18</v>
      </c>
      <c r="T37" s="2">
        <v>23</v>
      </c>
      <c r="U37" s="1">
        <v>18</v>
      </c>
      <c r="V37" s="1">
        <v>19</v>
      </c>
    </row>
    <row r="38" spans="1:22">
      <c r="A38" s="1">
        <v>250151</v>
      </c>
      <c r="B38" s="1" t="s">
        <v>117</v>
      </c>
      <c r="C38" s="1" t="s">
        <v>118</v>
      </c>
      <c r="D38" s="3">
        <v>36740</v>
      </c>
      <c r="E38" s="1">
        <v>50</v>
      </c>
      <c r="F38" s="1">
        <v>46</v>
      </c>
      <c r="G38" s="1">
        <v>80</v>
      </c>
      <c r="H38" s="1">
        <v>73</v>
      </c>
      <c r="I38" s="1">
        <v>94</v>
      </c>
      <c r="J38" s="1">
        <v>74</v>
      </c>
      <c r="K38" s="1">
        <v>54</v>
      </c>
      <c r="L38" s="1">
        <v>51</v>
      </c>
      <c r="M38" s="1">
        <v>78</v>
      </c>
      <c r="N38" s="1">
        <v>63</v>
      </c>
      <c r="O38" s="1">
        <v>22</v>
      </c>
      <c r="P38" s="2">
        <v>23</v>
      </c>
      <c r="Q38" s="2">
        <v>22</v>
      </c>
      <c r="R38" s="2">
        <v>23</v>
      </c>
      <c r="S38" s="2">
        <v>18</v>
      </c>
      <c r="T38" s="2">
        <v>23</v>
      </c>
      <c r="U38" s="1">
        <v>19</v>
      </c>
      <c r="V38" s="1">
        <v>22</v>
      </c>
    </row>
    <row r="39" spans="1:22">
      <c r="A39" s="1">
        <v>250152</v>
      </c>
      <c r="B39" s="1" t="s">
        <v>119</v>
      </c>
      <c r="C39" s="1" t="s">
        <v>120</v>
      </c>
      <c r="D39" s="3">
        <v>36959</v>
      </c>
      <c r="E39" s="1">
        <v>63</v>
      </c>
      <c r="F39" s="1">
        <v>48</v>
      </c>
      <c r="G39" s="1">
        <v>46</v>
      </c>
      <c r="H39" s="1">
        <v>56</v>
      </c>
      <c r="I39" s="1">
        <v>82</v>
      </c>
      <c r="J39" s="1">
        <v>69</v>
      </c>
      <c r="K39" s="1">
        <v>39</v>
      </c>
      <c r="L39" s="1">
        <v>52</v>
      </c>
      <c r="M39" s="1">
        <v>62</v>
      </c>
      <c r="N39" s="1">
        <v>61</v>
      </c>
      <c r="O39" s="1">
        <v>18</v>
      </c>
      <c r="P39" s="2">
        <v>20</v>
      </c>
      <c r="Q39" s="2">
        <v>15</v>
      </c>
      <c r="R39" s="2">
        <v>17</v>
      </c>
      <c r="S39" s="2">
        <v>18</v>
      </c>
      <c r="T39" s="2">
        <v>23</v>
      </c>
      <c r="U39" s="1">
        <v>20</v>
      </c>
      <c r="V39" s="1">
        <v>14</v>
      </c>
    </row>
    <row r="40" spans="1:22">
      <c r="A40" s="1">
        <v>250153</v>
      </c>
      <c r="B40" s="1" t="s">
        <v>121</v>
      </c>
      <c r="C40" s="1" t="s">
        <v>122</v>
      </c>
      <c r="D40" s="3">
        <v>37578</v>
      </c>
      <c r="E40" s="1">
        <v>48</v>
      </c>
      <c r="F40" s="1">
        <v>45</v>
      </c>
      <c r="G40" s="1">
        <v>50</v>
      </c>
      <c r="H40" s="1">
        <v>57</v>
      </c>
      <c r="I40" s="1">
        <v>80</v>
      </c>
      <c r="J40" s="1">
        <v>58</v>
      </c>
      <c r="K40" s="1">
        <v>30</v>
      </c>
      <c r="L40" s="1">
        <v>47</v>
      </c>
      <c r="M40" s="1">
        <v>70</v>
      </c>
      <c r="N40" s="1">
        <v>60</v>
      </c>
      <c r="O40" s="1">
        <v>20</v>
      </c>
      <c r="P40" s="2">
        <v>21</v>
      </c>
      <c r="Q40" s="2">
        <v>14</v>
      </c>
      <c r="R40" s="2">
        <v>16</v>
      </c>
      <c r="S40" s="2">
        <v>18</v>
      </c>
      <c r="T40" s="2">
        <v>23</v>
      </c>
      <c r="U40" s="1">
        <v>16</v>
      </c>
      <c r="V40" s="1">
        <v>14</v>
      </c>
    </row>
    <row r="41" spans="1:22">
      <c r="A41" s="1">
        <v>250154</v>
      </c>
      <c r="B41" s="1" t="s">
        <v>123</v>
      </c>
      <c r="C41" s="1" t="s">
        <v>124</v>
      </c>
      <c r="D41" s="3">
        <v>36671</v>
      </c>
      <c r="E41" s="1">
        <v>62</v>
      </c>
      <c r="F41" s="1">
        <v>50</v>
      </c>
      <c r="G41" s="1">
        <v>70</v>
      </c>
      <c r="H41" s="1">
        <v>56</v>
      </c>
      <c r="I41" s="1">
        <v>80</v>
      </c>
      <c r="J41" s="1">
        <v>71</v>
      </c>
      <c r="K41" s="1">
        <v>47</v>
      </c>
      <c r="L41" s="1">
        <v>50</v>
      </c>
      <c r="M41" s="1">
        <v>58</v>
      </c>
      <c r="N41" s="1">
        <v>51</v>
      </c>
      <c r="O41" s="1">
        <v>22</v>
      </c>
      <c r="P41" s="2">
        <v>23</v>
      </c>
      <c r="Q41" s="2">
        <v>17</v>
      </c>
      <c r="R41" s="2">
        <v>19</v>
      </c>
      <c r="S41" s="2">
        <v>18</v>
      </c>
      <c r="T41" s="2">
        <v>23</v>
      </c>
      <c r="U41" s="1">
        <v>17</v>
      </c>
      <c r="V41" s="1">
        <v>19</v>
      </c>
    </row>
    <row r="42" spans="1:22">
      <c r="A42" s="1">
        <v>250155</v>
      </c>
      <c r="B42" s="1" t="s">
        <v>125</v>
      </c>
      <c r="C42" s="1" t="s">
        <v>126</v>
      </c>
      <c r="D42" s="3">
        <v>37148</v>
      </c>
      <c r="E42" s="1">
        <v>57</v>
      </c>
      <c r="F42" s="1">
        <v>45</v>
      </c>
      <c r="G42" s="1">
        <v>58</v>
      </c>
      <c r="H42" s="1">
        <v>57</v>
      </c>
      <c r="I42" s="1">
        <v>76</v>
      </c>
      <c r="J42" s="1">
        <v>67</v>
      </c>
      <c r="K42" s="1">
        <v>45</v>
      </c>
      <c r="L42" s="1">
        <v>46</v>
      </c>
      <c r="M42" s="1">
        <v>76</v>
      </c>
      <c r="N42" s="1">
        <v>59</v>
      </c>
      <c r="O42" s="1">
        <v>21</v>
      </c>
      <c r="P42" s="2">
        <v>22</v>
      </c>
      <c r="Q42" s="2">
        <v>16</v>
      </c>
      <c r="R42" s="2">
        <v>18</v>
      </c>
      <c r="S42" s="2">
        <v>18</v>
      </c>
      <c r="T42" s="2">
        <v>23</v>
      </c>
      <c r="U42" s="1">
        <v>18</v>
      </c>
      <c r="V42" s="1">
        <v>20</v>
      </c>
    </row>
    <row r="43" spans="1:22">
      <c r="A43" s="1">
        <v>250156</v>
      </c>
      <c r="B43" s="1" t="s">
        <v>127</v>
      </c>
      <c r="C43" s="1" t="s">
        <v>128</v>
      </c>
      <c r="D43" s="3">
        <v>37295</v>
      </c>
      <c r="E43" s="1">
        <v>66</v>
      </c>
      <c r="F43" s="1">
        <v>49</v>
      </c>
      <c r="G43" s="1">
        <v>76</v>
      </c>
      <c r="H43" s="1">
        <v>75</v>
      </c>
      <c r="I43" s="1">
        <v>64</v>
      </c>
      <c r="J43" s="1">
        <v>72</v>
      </c>
      <c r="K43" s="1">
        <v>56</v>
      </c>
      <c r="L43" s="1">
        <v>53</v>
      </c>
      <c r="M43" s="1">
        <v>54</v>
      </c>
      <c r="N43" s="1">
        <v>58</v>
      </c>
      <c r="O43" s="1">
        <v>22</v>
      </c>
      <c r="P43" s="2">
        <v>23</v>
      </c>
      <c r="Q43" s="2">
        <v>17</v>
      </c>
      <c r="R43" s="2">
        <v>19</v>
      </c>
      <c r="S43" s="2">
        <v>18</v>
      </c>
      <c r="T43" s="2">
        <v>23</v>
      </c>
      <c r="U43" s="1">
        <v>17</v>
      </c>
      <c r="V43" s="1">
        <v>20</v>
      </c>
    </row>
    <row r="44" spans="1:22">
      <c r="A44" s="1">
        <v>250157</v>
      </c>
      <c r="B44" s="1" t="s">
        <v>129</v>
      </c>
      <c r="C44" s="1" t="s">
        <v>130</v>
      </c>
      <c r="D44" s="3">
        <v>36863</v>
      </c>
      <c r="E44" s="1">
        <v>86</v>
      </c>
      <c r="F44" s="1">
        <v>50</v>
      </c>
      <c r="G44" s="1">
        <v>98</v>
      </c>
      <c r="H44" s="1">
        <v>80</v>
      </c>
      <c r="I44" s="1">
        <v>116</v>
      </c>
      <c r="J44" s="1">
        <v>73</v>
      </c>
      <c r="K44" s="1">
        <v>62</v>
      </c>
      <c r="L44" s="1">
        <v>58</v>
      </c>
      <c r="M44" s="1">
        <v>96</v>
      </c>
      <c r="N44" s="1">
        <v>72</v>
      </c>
      <c r="O44" s="1">
        <v>22</v>
      </c>
      <c r="P44" s="2">
        <v>23</v>
      </c>
      <c r="Q44" s="2">
        <v>18</v>
      </c>
      <c r="R44" s="2">
        <v>20</v>
      </c>
      <c r="S44" s="2">
        <v>18</v>
      </c>
      <c r="T44" s="2">
        <v>23</v>
      </c>
      <c r="U44" s="1">
        <v>21</v>
      </c>
      <c r="V44" s="1">
        <v>23</v>
      </c>
    </row>
    <row r="45" spans="1:22">
      <c r="A45" s="1">
        <v>250158</v>
      </c>
      <c r="B45" s="1" t="s">
        <v>131</v>
      </c>
      <c r="C45" s="1" t="s">
        <v>132</v>
      </c>
      <c r="D45" s="3">
        <v>37100</v>
      </c>
      <c r="E45" s="1">
        <v>69</v>
      </c>
      <c r="F45" s="1">
        <v>51</v>
      </c>
      <c r="G45" s="1">
        <v>84</v>
      </c>
      <c r="H45" s="1">
        <v>80</v>
      </c>
      <c r="I45" s="1">
        <v>92</v>
      </c>
      <c r="J45" s="1">
        <v>69</v>
      </c>
      <c r="K45" s="1">
        <v>53</v>
      </c>
      <c r="L45" s="1">
        <v>54</v>
      </c>
      <c r="M45" s="1">
        <v>82</v>
      </c>
      <c r="N45" s="1">
        <v>54</v>
      </c>
      <c r="O45" s="1">
        <v>20</v>
      </c>
      <c r="P45" s="2">
        <v>21</v>
      </c>
      <c r="Q45" s="2">
        <v>16</v>
      </c>
      <c r="R45" s="2">
        <v>18</v>
      </c>
      <c r="S45" s="2">
        <v>18</v>
      </c>
      <c r="T45" s="2">
        <v>23</v>
      </c>
      <c r="U45" s="1">
        <v>16</v>
      </c>
      <c r="V45" s="1">
        <v>15</v>
      </c>
    </row>
    <row r="46" spans="1:22">
      <c r="A46" s="1">
        <v>250159</v>
      </c>
      <c r="B46" s="1" t="s">
        <v>133</v>
      </c>
      <c r="C46" s="1" t="s">
        <v>134</v>
      </c>
      <c r="D46" s="3">
        <v>37367</v>
      </c>
      <c r="E46" s="1">
        <v>48</v>
      </c>
      <c r="F46" s="1">
        <v>41</v>
      </c>
      <c r="G46" s="1">
        <v>46</v>
      </c>
      <c r="H46" s="1">
        <v>56</v>
      </c>
      <c r="I46" s="1">
        <v>76</v>
      </c>
      <c r="J46" s="1">
        <v>63</v>
      </c>
      <c r="K46" s="1">
        <v>18</v>
      </c>
      <c r="L46" s="1">
        <v>42</v>
      </c>
      <c r="M46" s="1">
        <v>56</v>
      </c>
      <c r="N46" s="1">
        <v>66</v>
      </c>
      <c r="O46" s="1">
        <v>16</v>
      </c>
      <c r="P46" s="2">
        <v>20</v>
      </c>
      <c r="Q46" s="2">
        <v>18</v>
      </c>
      <c r="R46" s="2">
        <v>19</v>
      </c>
      <c r="S46" s="2">
        <v>18</v>
      </c>
      <c r="T46" s="2">
        <v>23</v>
      </c>
      <c r="U46" s="1">
        <v>15</v>
      </c>
      <c r="V46" s="1">
        <v>14</v>
      </c>
    </row>
    <row r="47" spans="1:22">
      <c r="A47" s="1">
        <v>250160</v>
      </c>
      <c r="B47" s="1" t="s">
        <v>135</v>
      </c>
      <c r="C47" s="1" t="s">
        <v>136</v>
      </c>
      <c r="D47" s="3">
        <v>36556</v>
      </c>
      <c r="E47" s="1">
        <v>60</v>
      </c>
      <c r="F47" s="1">
        <v>50</v>
      </c>
      <c r="G47" s="1">
        <v>72</v>
      </c>
      <c r="H47" s="1">
        <v>75</v>
      </c>
      <c r="I47" s="1">
        <v>82</v>
      </c>
      <c r="J47" s="1">
        <v>75</v>
      </c>
      <c r="K47" s="1">
        <v>60</v>
      </c>
      <c r="L47" s="1">
        <v>52</v>
      </c>
      <c r="M47" s="1">
        <v>84</v>
      </c>
      <c r="N47" s="1">
        <v>61</v>
      </c>
      <c r="O47" s="1">
        <v>21</v>
      </c>
      <c r="P47" s="2">
        <v>22</v>
      </c>
      <c r="Q47" s="2">
        <v>15</v>
      </c>
      <c r="R47" s="2">
        <v>19</v>
      </c>
      <c r="S47" s="2">
        <v>18</v>
      </c>
      <c r="T47" s="2">
        <v>23</v>
      </c>
      <c r="U47" s="1">
        <v>20</v>
      </c>
      <c r="V47" s="1">
        <v>22</v>
      </c>
    </row>
    <row r="48" spans="1:22">
      <c r="A48" s="1">
        <v>250161</v>
      </c>
      <c r="B48" s="1" t="s">
        <v>137</v>
      </c>
      <c r="C48" s="1" t="s">
        <v>138</v>
      </c>
      <c r="D48" s="3">
        <v>37171</v>
      </c>
      <c r="E48" s="1">
        <v>57</v>
      </c>
      <c r="F48" s="1">
        <v>48</v>
      </c>
      <c r="G48" s="1">
        <v>62</v>
      </c>
      <c r="H48" s="1">
        <v>64</v>
      </c>
      <c r="I48" s="1">
        <v>94</v>
      </c>
      <c r="J48" s="1">
        <v>71</v>
      </c>
      <c r="K48" s="1">
        <v>42</v>
      </c>
      <c r="L48" s="1">
        <v>48</v>
      </c>
      <c r="M48" s="1">
        <v>84</v>
      </c>
      <c r="N48" s="1">
        <v>67</v>
      </c>
      <c r="O48" s="1">
        <v>21</v>
      </c>
      <c r="P48" s="2">
        <v>22</v>
      </c>
      <c r="Q48" s="2">
        <v>19</v>
      </c>
      <c r="R48" s="2">
        <v>19</v>
      </c>
      <c r="S48" s="2">
        <v>18</v>
      </c>
      <c r="T48" s="2">
        <v>23</v>
      </c>
      <c r="U48" s="1">
        <v>16</v>
      </c>
      <c r="V48" s="1">
        <v>19</v>
      </c>
    </row>
    <row r="49" spans="1:22">
      <c r="A49" s="1">
        <v>250162</v>
      </c>
      <c r="B49" s="1" t="s">
        <v>139</v>
      </c>
      <c r="C49" s="1" t="s">
        <v>140</v>
      </c>
      <c r="D49" s="3">
        <v>37419</v>
      </c>
      <c r="E49" s="1">
        <v>63</v>
      </c>
      <c r="F49" s="1">
        <v>43</v>
      </c>
      <c r="G49" s="1">
        <v>66</v>
      </c>
      <c r="H49" s="1">
        <v>69</v>
      </c>
      <c r="I49" s="1">
        <v>96</v>
      </c>
      <c r="J49" s="1">
        <v>66</v>
      </c>
      <c r="K49" s="1">
        <v>41</v>
      </c>
      <c r="L49" s="1">
        <v>52</v>
      </c>
      <c r="M49" s="1">
        <v>78</v>
      </c>
      <c r="N49" s="1">
        <v>61</v>
      </c>
      <c r="O49" s="1">
        <v>21</v>
      </c>
      <c r="P49" s="2">
        <v>22</v>
      </c>
      <c r="Q49" s="2">
        <v>22</v>
      </c>
      <c r="R49" s="2">
        <v>23</v>
      </c>
      <c r="S49" s="2">
        <v>18</v>
      </c>
      <c r="T49" s="2">
        <v>23</v>
      </c>
      <c r="U49" s="1">
        <v>19</v>
      </c>
      <c r="V49" s="1">
        <v>22</v>
      </c>
    </row>
    <row r="50" spans="1:22">
      <c r="A50" s="1">
        <v>250163</v>
      </c>
      <c r="B50" s="1" t="s">
        <v>141</v>
      </c>
      <c r="C50" s="1" t="s">
        <v>142</v>
      </c>
      <c r="D50" s="3">
        <v>36788</v>
      </c>
      <c r="E50" s="1">
        <v>38</v>
      </c>
      <c r="F50" s="1">
        <v>44</v>
      </c>
      <c r="G50" s="1">
        <v>44</v>
      </c>
      <c r="H50" s="1">
        <v>55</v>
      </c>
      <c r="I50" s="1">
        <v>66</v>
      </c>
      <c r="J50" s="1">
        <v>48</v>
      </c>
      <c r="K50" s="1">
        <v>26</v>
      </c>
      <c r="L50" s="1">
        <v>43</v>
      </c>
      <c r="M50" s="1">
        <v>60</v>
      </c>
      <c r="N50" s="1">
        <v>43</v>
      </c>
      <c r="O50" s="1">
        <v>19</v>
      </c>
      <c r="P50" s="2">
        <v>20</v>
      </c>
      <c r="Q50" s="2">
        <v>16</v>
      </c>
      <c r="R50" s="2">
        <v>18</v>
      </c>
      <c r="S50" s="2">
        <v>18</v>
      </c>
      <c r="T50" s="2">
        <v>23</v>
      </c>
      <c r="U50" s="1">
        <v>17</v>
      </c>
      <c r="V50" s="1">
        <v>14</v>
      </c>
    </row>
    <row r="51" spans="1:22">
      <c r="A51" s="1">
        <v>250164</v>
      </c>
      <c r="B51" s="1" t="s">
        <v>143</v>
      </c>
      <c r="C51" s="1" t="s">
        <v>144</v>
      </c>
      <c r="D51" s="3">
        <v>37240</v>
      </c>
      <c r="E51" s="1">
        <v>66</v>
      </c>
      <c r="F51" s="1">
        <v>43</v>
      </c>
      <c r="G51" s="1">
        <v>74</v>
      </c>
      <c r="H51" s="1">
        <v>75</v>
      </c>
      <c r="I51" s="1">
        <v>92</v>
      </c>
      <c r="J51" s="1">
        <v>60</v>
      </c>
      <c r="K51" s="1">
        <v>26</v>
      </c>
      <c r="L51" s="1">
        <v>44</v>
      </c>
      <c r="M51" s="1">
        <v>68</v>
      </c>
      <c r="N51" s="1">
        <v>48</v>
      </c>
      <c r="O51" s="1">
        <v>21</v>
      </c>
      <c r="P51" s="2">
        <v>22</v>
      </c>
      <c r="Q51" s="2">
        <v>16</v>
      </c>
      <c r="R51" s="2">
        <v>18</v>
      </c>
      <c r="S51" s="2">
        <v>18</v>
      </c>
      <c r="T51" s="2">
        <v>23</v>
      </c>
      <c r="U51" s="1">
        <v>19</v>
      </c>
      <c r="V51" s="1">
        <v>22</v>
      </c>
    </row>
    <row r="52" spans="1:22">
      <c r="A52" s="1">
        <v>250165</v>
      </c>
      <c r="B52" s="1" t="s">
        <v>145</v>
      </c>
      <c r="C52" s="1" t="s">
        <v>146</v>
      </c>
      <c r="D52" s="3">
        <v>37477</v>
      </c>
      <c r="E52" s="1">
        <v>0</v>
      </c>
      <c r="F52" s="1">
        <v>0</v>
      </c>
      <c r="G52" s="1">
        <v>0</v>
      </c>
      <c r="H52" s="1"/>
      <c r="I52" s="1">
        <v>0</v>
      </c>
      <c r="J52" s="1">
        <v>0</v>
      </c>
      <c r="K52" s="1"/>
      <c r="L52" s="1">
        <v>0</v>
      </c>
      <c r="M52" s="1">
        <v>0</v>
      </c>
      <c r="N52" s="1">
        <v>0</v>
      </c>
      <c r="O52" s="1">
        <v>0</v>
      </c>
      <c r="P52" s="2">
        <v>0</v>
      </c>
      <c r="Q52" s="2">
        <v>0</v>
      </c>
      <c r="R52" s="2">
        <v>0</v>
      </c>
      <c r="S52" s="2">
        <v>18</v>
      </c>
      <c r="T52" s="2">
        <v>23</v>
      </c>
      <c r="U52" s="1">
        <v>0</v>
      </c>
      <c r="V52" s="1">
        <v>14</v>
      </c>
    </row>
    <row r="53" spans="1:22">
      <c r="A53" s="1">
        <v>250166</v>
      </c>
      <c r="B53" s="1" t="s">
        <v>147</v>
      </c>
      <c r="C53" s="1" t="s">
        <v>148</v>
      </c>
      <c r="D53" s="3">
        <v>36590</v>
      </c>
      <c r="E53" s="1">
        <v>71</v>
      </c>
      <c r="F53" s="1">
        <v>45</v>
      </c>
      <c r="G53" s="1">
        <v>80</v>
      </c>
      <c r="H53" s="1">
        <v>67</v>
      </c>
      <c r="I53" s="1">
        <v>82</v>
      </c>
      <c r="J53" s="1">
        <v>59</v>
      </c>
      <c r="K53" s="1">
        <v>48</v>
      </c>
      <c r="L53" s="1">
        <v>56</v>
      </c>
      <c r="M53" s="1">
        <v>74</v>
      </c>
      <c r="N53" s="1">
        <v>71</v>
      </c>
      <c r="O53" s="1">
        <v>20</v>
      </c>
      <c r="P53" s="2">
        <v>21</v>
      </c>
      <c r="Q53" s="2">
        <v>23</v>
      </c>
      <c r="R53" s="2">
        <v>23</v>
      </c>
      <c r="S53" s="2">
        <v>18</v>
      </c>
      <c r="T53" s="2">
        <v>23</v>
      </c>
      <c r="U53" s="1">
        <v>20</v>
      </c>
      <c r="V53" s="1">
        <v>22</v>
      </c>
    </row>
    <row r="54" spans="1:22">
      <c r="A54" s="1">
        <v>250167</v>
      </c>
      <c r="B54" s="1" t="s">
        <v>149</v>
      </c>
      <c r="C54" s="1" t="s">
        <v>150</v>
      </c>
      <c r="D54" s="3">
        <v>37034</v>
      </c>
      <c r="E54" s="1">
        <v>66</v>
      </c>
      <c r="F54" s="1">
        <v>43</v>
      </c>
      <c r="G54" s="1">
        <v>78</v>
      </c>
      <c r="H54" s="1">
        <v>77</v>
      </c>
      <c r="I54" s="1">
        <v>100</v>
      </c>
      <c r="J54" s="1">
        <v>62</v>
      </c>
      <c r="K54" s="1">
        <v>32</v>
      </c>
      <c r="L54" s="1">
        <v>48</v>
      </c>
      <c r="M54" s="1">
        <v>60</v>
      </c>
      <c r="N54" s="1">
        <v>47</v>
      </c>
      <c r="O54" s="1">
        <v>20</v>
      </c>
      <c r="P54" s="2">
        <v>21</v>
      </c>
      <c r="Q54" s="2">
        <v>18</v>
      </c>
      <c r="R54" s="2">
        <v>19</v>
      </c>
      <c r="S54" s="2">
        <v>18</v>
      </c>
      <c r="T54" s="2">
        <v>23</v>
      </c>
      <c r="U54" s="1">
        <v>17</v>
      </c>
      <c r="V54" s="1">
        <v>20</v>
      </c>
    </row>
    <row r="55" spans="1:22">
      <c r="A55" s="1">
        <v>250168</v>
      </c>
      <c r="B55" s="1" t="s">
        <v>151</v>
      </c>
      <c r="C55" s="1" t="s">
        <v>152</v>
      </c>
      <c r="D55" s="3">
        <v>37283</v>
      </c>
      <c r="E55" s="1">
        <v>75</v>
      </c>
      <c r="F55" s="1">
        <v>47</v>
      </c>
      <c r="G55" s="1">
        <v>82</v>
      </c>
      <c r="H55" s="1">
        <v>75</v>
      </c>
      <c r="I55" s="1">
        <v>100</v>
      </c>
      <c r="J55" s="1">
        <v>68</v>
      </c>
      <c r="K55" s="1">
        <v>56</v>
      </c>
      <c r="L55" s="1">
        <v>55</v>
      </c>
      <c r="M55" s="1">
        <v>86</v>
      </c>
      <c r="N55" s="1">
        <v>64</v>
      </c>
      <c r="O55" s="1">
        <v>20</v>
      </c>
      <c r="P55" s="2">
        <v>21</v>
      </c>
      <c r="Q55" s="2">
        <v>22</v>
      </c>
      <c r="R55" s="2">
        <v>22</v>
      </c>
      <c r="S55" s="2">
        <v>18</v>
      </c>
      <c r="T55" s="2">
        <v>23</v>
      </c>
      <c r="U55" s="1">
        <v>19</v>
      </c>
      <c r="V55" s="1">
        <v>22</v>
      </c>
    </row>
    <row r="56" spans="1:22">
      <c r="A56" s="1">
        <v>250169</v>
      </c>
      <c r="B56" s="1" t="s">
        <v>153</v>
      </c>
      <c r="C56" s="1" t="s">
        <v>154</v>
      </c>
      <c r="D56" s="3">
        <v>36723</v>
      </c>
      <c r="E56" s="1">
        <v>54</v>
      </c>
      <c r="F56" s="1">
        <v>44</v>
      </c>
      <c r="G56" s="1">
        <v>62</v>
      </c>
      <c r="H56" s="1">
        <v>68</v>
      </c>
      <c r="I56" s="1">
        <v>88</v>
      </c>
      <c r="J56" s="1">
        <v>65</v>
      </c>
      <c r="K56" s="1">
        <v>38</v>
      </c>
      <c r="L56" s="1">
        <v>50</v>
      </c>
      <c r="M56" s="1">
        <v>70</v>
      </c>
      <c r="N56" s="1">
        <v>59</v>
      </c>
      <c r="O56" s="1">
        <v>23</v>
      </c>
      <c r="P56" s="2">
        <v>24</v>
      </c>
      <c r="Q56" s="2">
        <v>20</v>
      </c>
      <c r="R56" s="2">
        <v>21</v>
      </c>
      <c r="S56" s="2">
        <v>18</v>
      </c>
      <c r="T56" s="2">
        <v>23</v>
      </c>
      <c r="U56" s="1">
        <v>19</v>
      </c>
      <c r="V56" s="1">
        <v>21</v>
      </c>
    </row>
    <row r="57" spans="1:22">
      <c r="A57" s="1">
        <v>250170</v>
      </c>
      <c r="B57" s="1" t="s">
        <v>155</v>
      </c>
      <c r="C57" s="1" t="s">
        <v>156</v>
      </c>
      <c r="D57" s="3">
        <v>36943</v>
      </c>
      <c r="E57" s="1">
        <v>74</v>
      </c>
      <c r="F57" s="1">
        <v>50</v>
      </c>
      <c r="G57" s="1">
        <v>88</v>
      </c>
      <c r="H57" s="1">
        <v>67</v>
      </c>
      <c r="I57" s="1">
        <v>92</v>
      </c>
      <c r="J57" s="1">
        <v>72</v>
      </c>
      <c r="K57" s="1">
        <v>50</v>
      </c>
      <c r="L57" s="1">
        <v>55</v>
      </c>
      <c r="M57" s="1">
        <v>82</v>
      </c>
      <c r="N57" s="1">
        <v>69</v>
      </c>
      <c r="O57" s="1">
        <v>23</v>
      </c>
      <c r="P57" s="2">
        <v>24</v>
      </c>
      <c r="Q57" s="2">
        <v>21</v>
      </c>
      <c r="R57" s="2">
        <v>22</v>
      </c>
      <c r="S57" s="2">
        <v>18</v>
      </c>
      <c r="T57" s="2">
        <v>23</v>
      </c>
      <c r="U57" s="1">
        <v>19</v>
      </c>
      <c r="V57" s="1">
        <v>22</v>
      </c>
    </row>
    <row r="58" spans="1:22">
      <c r="A58" s="1">
        <v>250171</v>
      </c>
      <c r="B58" s="1" t="s">
        <v>157</v>
      </c>
      <c r="C58" s="1" t="s">
        <v>158</v>
      </c>
      <c r="D58" s="3">
        <v>37532</v>
      </c>
      <c r="E58" s="1">
        <v>54</v>
      </c>
      <c r="F58" s="1">
        <v>43</v>
      </c>
      <c r="G58" s="1">
        <v>66</v>
      </c>
      <c r="H58" s="1">
        <v>63</v>
      </c>
      <c r="I58" s="1">
        <v>78</v>
      </c>
      <c r="J58" s="1">
        <v>57</v>
      </c>
      <c r="K58" s="1">
        <v>42</v>
      </c>
      <c r="L58" s="1">
        <v>46</v>
      </c>
      <c r="M58" s="1">
        <v>64</v>
      </c>
      <c r="N58" s="1">
        <v>52</v>
      </c>
      <c r="O58" s="1">
        <v>20</v>
      </c>
      <c r="P58" s="2">
        <v>21</v>
      </c>
      <c r="Q58" s="2">
        <v>19</v>
      </c>
      <c r="R58" s="2">
        <v>20</v>
      </c>
      <c r="S58" s="2">
        <v>18</v>
      </c>
      <c r="T58" s="2">
        <v>23</v>
      </c>
      <c r="U58" s="1">
        <v>16</v>
      </c>
      <c r="V58" s="1">
        <v>16</v>
      </c>
    </row>
    <row r="59" spans="1:22">
      <c r="A59" s="1">
        <v>250172</v>
      </c>
      <c r="B59" s="1" t="s">
        <v>159</v>
      </c>
      <c r="C59" s="1" t="s">
        <v>160</v>
      </c>
      <c r="D59" s="3">
        <v>36644</v>
      </c>
      <c r="E59" s="1">
        <v>75</v>
      </c>
      <c r="F59" s="1">
        <v>51</v>
      </c>
      <c r="G59" s="1">
        <v>84</v>
      </c>
      <c r="H59" s="1">
        <v>68</v>
      </c>
      <c r="I59" s="1">
        <v>98</v>
      </c>
      <c r="J59" s="1">
        <v>70</v>
      </c>
      <c r="K59" s="1">
        <v>51</v>
      </c>
      <c r="L59" s="1">
        <v>55</v>
      </c>
      <c r="M59" s="1">
        <v>90</v>
      </c>
      <c r="N59" s="1">
        <v>64</v>
      </c>
      <c r="O59" s="1">
        <v>23</v>
      </c>
      <c r="P59" s="2">
        <v>24</v>
      </c>
      <c r="Q59" s="2">
        <v>20</v>
      </c>
      <c r="R59" s="2">
        <v>22</v>
      </c>
      <c r="S59" s="2">
        <v>18</v>
      </c>
      <c r="T59" s="2">
        <v>23</v>
      </c>
      <c r="U59" s="1">
        <v>19</v>
      </c>
      <c r="V59" s="1">
        <v>22</v>
      </c>
    </row>
    <row r="60" spans="1:22">
      <c r="A60" s="1">
        <v>250173</v>
      </c>
      <c r="B60" s="1" t="s">
        <v>161</v>
      </c>
      <c r="C60" s="1" t="s">
        <v>162</v>
      </c>
      <c r="D60" s="3">
        <v>37114</v>
      </c>
      <c r="E60" s="1">
        <v>44</v>
      </c>
      <c r="F60" s="1">
        <v>44</v>
      </c>
      <c r="G60" s="1">
        <v>76</v>
      </c>
      <c r="H60" s="1">
        <v>69</v>
      </c>
      <c r="I60" s="1">
        <v>76</v>
      </c>
      <c r="J60" s="1">
        <v>56</v>
      </c>
      <c r="K60" s="1">
        <v>41</v>
      </c>
      <c r="L60" s="1">
        <v>49</v>
      </c>
      <c r="M60" s="1">
        <v>62</v>
      </c>
      <c r="N60" s="1">
        <v>46</v>
      </c>
      <c r="O60" s="1">
        <v>19</v>
      </c>
      <c r="P60" s="2">
        <v>20</v>
      </c>
      <c r="Q60" s="2">
        <v>19</v>
      </c>
      <c r="R60" s="2">
        <v>20</v>
      </c>
      <c r="S60" s="2">
        <v>18</v>
      </c>
      <c r="T60" s="2">
        <v>23</v>
      </c>
      <c r="U60" s="1">
        <v>17</v>
      </c>
      <c r="V60" s="1">
        <v>20</v>
      </c>
    </row>
    <row r="61" spans="1:22">
      <c r="A61" s="1">
        <v>250174</v>
      </c>
      <c r="B61" s="1" t="s">
        <v>163</v>
      </c>
      <c r="C61" s="1" t="s">
        <v>164</v>
      </c>
      <c r="D61" s="3">
        <v>37406</v>
      </c>
      <c r="E61" s="1">
        <v>78</v>
      </c>
      <c r="F61" s="1">
        <v>42</v>
      </c>
      <c r="G61" s="1">
        <v>84</v>
      </c>
      <c r="H61" s="1">
        <v>68</v>
      </c>
      <c r="I61" s="1">
        <v>70</v>
      </c>
      <c r="J61" s="1">
        <v>62</v>
      </c>
      <c r="K61" s="1">
        <v>56</v>
      </c>
      <c r="L61" s="1">
        <v>55</v>
      </c>
      <c r="M61" s="1">
        <v>84</v>
      </c>
      <c r="N61" s="1">
        <v>62</v>
      </c>
      <c r="O61" s="1">
        <v>18</v>
      </c>
      <c r="P61" s="2">
        <v>19</v>
      </c>
      <c r="Q61" s="2">
        <v>18</v>
      </c>
      <c r="R61" s="2">
        <v>19</v>
      </c>
      <c r="S61" s="2">
        <v>18</v>
      </c>
      <c r="T61" s="2">
        <v>23</v>
      </c>
      <c r="U61" s="1">
        <v>20</v>
      </c>
      <c r="V61" s="1">
        <v>22</v>
      </c>
    </row>
    <row r="62" spans="1:22">
      <c r="A62" s="1">
        <v>250175</v>
      </c>
      <c r="B62" s="1" t="s">
        <v>165</v>
      </c>
      <c r="C62" s="1" t="s">
        <v>166</v>
      </c>
      <c r="D62" s="3">
        <v>36838</v>
      </c>
      <c r="E62" s="1">
        <v>60</v>
      </c>
      <c r="F62" s="1">
        <v>38</v>
      </c>
      <c r="G62" s="1">
        <v>76</v>
      </c>
      <c r="H62" s="1">
        <v>68</v>
      </c>
      <c r="I62" s="1">
        <v>84</v>
      </c>
      <c r="J62" s="1">
        <v>56</v>
      </c>
      <c r="K62" s="1">
        <v>32</v>
      </c>
      <c r="L62" s="1">
        <v>46</v>
      </c>
      <c r="M62" s="1">
        <v>74</v>
      </c>
      <c r="N62" s="1">
        <v>57</v>
      </c>
      <c r="O62" s="1">
        <v>22</v>
      </c>
      <c r="P62" s="2">
        <v>23</v>
      </c>
      <c r="Q62" s="2">
        <v>18</v>
      </c>
      <c r="R62" s="2">
        <v>19</v>
      </c>
      <c r="S62" s="2">
        <v>18</v>
      </c>
      <c r="T62" s="2">
        <v>23</v>
      </c>
      <c r="U62" s="1">
        <v>19</v>
      </c>
      <c r="V62" s="1">
        <v>22</v>
      </c>
    </row>
    <row r="63" spans="1:22">
      <c r="A63" s="1">
        <v>250176</v>
      </c>
      <c r="B63" s="1" t="s">
        <v>167</v>
      </c>
      <c r="C63" s="1" t="s">
        <v>168</v>
      </c>
      <c r="D63" s="3">
        <v>37067</v>
      </c>
      <c r="E63" s="1">
        <v>50</v>
      </c>
      <c r="F63" s="1">
        <v>41</v>
      </c>
      <c r="G63" s="1">
        <v>80</v>
      </c>
      <c r="H63" s="1">
        <v>64</v>
      </c>
      <c r="I63" s="1">
        <v>78</v>
      </c>
      <c r="J63" s="1">
        <v>61</v>
      </c>
      <c r="K63" s="1">
        <v>42</v>
      </c>
      <c r="L63" s="1">
        <v>47</v>
      </c>
      <c r="M63" s="1">
        <v>66</v>
      </c>
      <c r="N63" s="1">
        <v>44</v>
      </c>
      <c r="O63" s="1">
        <v>20</v>
      </c>
      <c r="P63" s="2">
        <v>21</v>
      </c>
      <c r="Q63" s="2">
        <v>18</v>
      </c>
      <c r="R63" s="2">
        <v>19</v>
      </c>
      <c r="S63" s="2">
        <v>18</v>
      </c>
      <c r="T63" s="2">
        <v>23</v>
      </c>
      <c r="U63" s="1">
        <v>20</v>
      </c>
      <c r="V63" s="1">
        <v>22</v>
      </c>
    </row>
    <row r="64" spans="1:22">
      <c r="A64" s="1">
        <v>250177</v>
      </c>
      <c r="B64" s="1" t="s">
        <v>169</v>
      </c>
      <c r="C64" s="1" t="s">
        <v>170</v>
      </c>
      <c r="D64" s="3">
        <v>37329</v>
      </c>
      <c r="E64" s="1">
        <v>65</v>
      </c>
      <c r="F64" s="1">
        <v>48</v>
      </c>
      <c r="G64" s="1">
        <v>70</v>
      </c>
      <c r="H64" s="1">
        <v>64</v>
      </c>
      <c r="I64" s="1">
        <v>92</v>
      </c>
      <c r="J64" s="1">
        <v>73</v>
      </c>
      <c r="K64" s="1">
        <v>48</v>
      </c>
      <c r="L64" s="1">
        <v>56</v>
      </c>
      <c r="M64" s="1">
        <v>86</v>
      </c>
      <c r="N64" s="1">
        <v>60</v>
      </c>
      <c r="O64" s="1">
        <v>23</v>
      </c>
      <c r="P64" s="2">
        <v>24</v>
      </c>
      <c r="Q64" s="2">
        <v>19</v>
      </c>
      <c r="R64" s="2">
        <v>20</v>
      </c>
      <c r="S64" s="2">
        <v>18</v>
      </c>
      <c r="T64" s="2">
        <v>23</v>
      </c>
      <c r="U64" s="1">
        <v>19</v>
      </c>
      <c r="V64" s="1">
        <v>21</v>
      </c>
    </row>
    <row r="65" spans="1:22">
      <c r="A65" s="1">
        <v>250178</v>
      </c>
      <c r="B65" s="1" t="s">
        <v>171</v>
      </c>
      <c r="C65" s="1" t="s">
        <v>172</v>
      </c>
      <c r="D65" s="3">
        <v>36568</v>
      </c>
      <c r="E65" s="1">
        <v>74</v>
      </c>
      <c r="F65" s="1">
        <v>48</v>
      </c>
      <c r="G65" s="1">
        <v>96</v>
      </c>
      <c r="H65" s="1">
        <v>75</v>
      </c>
      <c r="I65" s="1">
        <v>90</v>
      </c>
      <c r="J65" s="1">
        <v>72</v>
      </c>
      <c r="K65" s="1">
        <v>65</v>
      </c>
      <c r="L65" s="1">
        <v>56</v>
      </c>
      <c r="M65" s="1">
        <v>94</v>
      </c>
      <c r="N65" s="1">
        <v>63</v>
      </c>
      <c r="O65" s="1">
        <v>23</v>
      </c>
      <c r="P65" s="2">
        <v>24</v>
      </c>
      <c r="Q65" s="2">
        <v>23</v>
      </c>
      <c r="R65" s="2">
        <v>23</v>
      </c>
      <c r="S65" s="2">
        <v>18</v>
      </c>
      <c r="T65" s="2">
        <v>23</v>
      </c>
      <c r="U65" s="1">
        <v>21</v>
      </c>
      <c r="V65" s="1">
        <v>22</v>
      </c>
    </row>
    <row r="66" spans="1:22">
      <c r="A66" s="1">
        <v>250179</v>
      </c>
      <c r="B66" s="1" t="s">
        <v>173</v>
      </c>
      <c r="C66" s="1" t="s">
        <v>174</v>
      </c>
      <c r="D66" s="3">
        <v>36983</v>
      </c>
      <c r="E66" s="1">
        <v>66</v>
      </c>
      <c r="F66" s="1">
        <v>41</v>
      </c>
      <c r="G66" s="1">
        <v>84</v>
      </c>
      <c r="H66" s="1">
        <v>68</v>
      </c>
      <c r="I66" s="1">
        <v>80</v>
      </c>
      <c r="J66" s="1">
        <v>54</v>
      </c>
      <c r="K66" s="1">
        <v>48</v>
      </c>
      <c r="L66" s="1">
        <v>43</v>
      </c>
      <c r="M66" s="1">
        <v>58</v>
      </c>
      <c r="N66" s="1">
        <v>52</v>
      </c>
      <c r="O66" s="1">
        <v>23</v>
      </c>
      <c r="P66" s="2">
        <v>24</v>
      </c>
      <c r="Q66" s="2">
        <v>20</v>
      </c>
      <c r="R66" s="2">
        <v>21</v>
      </c>
      <c r="S66" s="2">
        <v>18</v>
      </c>
      <c r="T66" s="2">
        <v>23</v>
      </c>
      <c r="U66" s="1">
        <v>16</v>
      </c>
      <c r="V66" s="1">
        <v>14</v>
      </c>
    </row>
    <row r="67" spans="1:22">
      <c r="A67" s="1">
        <v>250180</v>
      </c>
      <c r="B67" s="1" t="s">
        <v>175</v>
      </c>
      <c r="C67" s="1" t="s">
        <v>176</v>
      </c>
      <c r="D67" s="3">
        <v>37510</v>
      </c>
      <c r="E67" s="1">
        <v>50</v>
      </c>
      <c r="F67" s="1">
        <v>51</v>
      </c>
      <c r="G67" s="1">
        <v>72</v>
      </c>
      <c r="H67" s="1">
        <v>64</v>
      </c>
      <c r="I67" s="1">
        <v>82</v>
      </c>
      <c r="J67" s="1">
        <v>57</v>
      </c>
      <c r="K67" s="1">
        <v>47</v>
      </c>
      <c r="L67" s="1">
        <v>51</v>
      </c>
      <c r="M67" s="1">
        <v>64</v>
      </c>
      <c r="N67" s="1">
        <v>55</v>
      </c>
      <c r="O67" s="1">
        <v>22</v>
      </c>
      <c r="P67" s="2">
        <v>23</v>
      </c>
      <c r="Q67" s="2">
        <v>19</v>
      </c>
      <c r="R67" s="2">
        <v>20</v>
      </c>
      <c r="S67" s="2">
        <v>18</v>
      </c>
      <c r="T67" s="2">
        <v>23</v>
      </c>
      <c r="U67" s="1">
        <v>20</v>
      </c>
      <c r="V67" s="1">
        <v>22</v>
      </c>
    </row>
    <row r="68" spans="1:22">
      <c r="A68" s="1">
        <v>250181</v>
      </c>
      <c r="B68" s="1" t="s">
        <v>177</v>
      </c>
      <c r="C68" s="1" t="s">
        <v>178</v>
      </c>
      <c r="D68" s="3">
        <v>36706</v>
      </c>
      <c r="E68" s="1">
        <v>13</v>
      </c>
      <c r="F68" s="1">
        <v>12</v>
      </c>
      <c r="G68" s="1">
        <v>12</v>
      </c>
      <c r="H68" s="1">
        <v>9</v>
      </c>
      <c r="I68" s="1">
        <v>25</v>
      </c>
      <c r="J68" s="1">
        <v>20</v>
      </c>
      <c r="K68" s="1">
        <v>16</v>
      </c>
      <c r="L68" s="1">
        <v>17</v>
      </c>
      <c r="M68" s="1">
        <v>11</v>
      </c>
      <c r="N68" s="1">
        <v>13</v>
      </c>
      <c r="O68" s="1">
        <v>6</v>
      </c>
      <c r="P68" s="2">
        <v>5</v>
      </c>
      <c r="Q68" s="2">
        <v>0</v>
      </c>
      <c r="R68" s="2">
        <v>10</v>
      </c>
      <c r="S68" s="2">
        <v>0</v>
      </c>
      <c r="T68" s="2">
        <v>4</v>
      </c>
      <c r="U68" s="1">
        <v>4</v>
      </c>
      <c r="V68" s="1">
        <v>7</v>
      </c>
    </row>
    <row r="69" spans="1:22">
      <c r="A69" s="1">
        <v>250182</v>
      </c>
      <c r="B69" s="1" t="s">
        <v>179</v>
      </c>
      <c r="C69" s="1" t="s">
        <v>180</v>
      </c>
      <c r="D69" s="3">
        <v>36896</v>
      </c>
      <c r="E69" s="1">
        <v>51</v>
      </c>
      <c r="F69" s="1">
        <v>47</v>
      </c>
      <c r="G69" s="1">
        <v>76</v>
      </c>
      <c r="H69" s="1">
        <v>71</v>
      </c>
      <c r="I69" s="1">
        <v>78</v>
      </c>
      <c r="J69" s="1">
        <v>71</v>
      </c>
      <c r="K69" s="1">
        <v>54</v>
      </c>
      <c r="L69" s="1">
        <v>51</v>
      </c>
      <c r="M69" s="1">
        <v>82</v>
      </c>
      <c r="N69" s="1">
        <v>52</v>
      </c>
      <c r="O69" s="1">
        <v>22</v>
      </c>
      <c r="P69" s="2">
        <v>23</v>
      </c>
      <c r="Q69" s="2">
        <v>17</v>
      </c>
      <c r="R69" s="2">
        <v>19</v>
      </c>
      <c r="S69" s="2">
        <v>18</v>
      </c>
      <c r="T69" s="2">
        <v>23</v>
      </c>
      <c r="U69" s="1">
        <v>17</v>
      </c>
      <c r="V69" s="1">
        <v>20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Durgesh Nautiyal</cp:lastModifiedBy>
  <cp:revision/>
  <dcterms:created xsi:type="dcterms:W3CDTF">2025-11-07T02:08:37Z</dcterms:created>
  <dcterms:modified xsi:type="dcterms:W3CDTF">2025-11-07T13:49:20Z</dcterms:modified>
  <cp:category/>
  <cp:contentStatus/>
</cp:coreProperties>
</file>